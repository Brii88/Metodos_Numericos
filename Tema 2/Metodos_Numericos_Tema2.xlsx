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8.png" ContentType="image/png"/>
  <Override PartName="/xl/media/image12.png" ContentType="image/png"/>
  <Override PartName="/xl/media/image3.png" ContentType="image/png"/>
  <Override PartName="/xl/media/image19.png" ContentType="image/png"/>
  <Override PartName="/xl/media/image14.png" ContentType="image/png"/>
  <Override PartName="/xl/media/image5.png" ContentType="image/png"/>
  <Override PartName="/xl/media/image1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16.png" ContentType="image/png"/>
  <Override PartName="/xl/media/image7.png" ContentType="image/png"/>
  <Override PartName="/xl/media/image2.png" ContentType="image/png"/>
  <Override PartName="/xl/media/image11.png" ContentType="image/png"/>
  <Override PartName="/xl/media/image17.png" ContentType="image/png"/>
  <Override PartName="/xl/media/image8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sección" sheetId="1" state="visible" r:id="rId3"/>
    <sheet name="ReglaFalsa" sheetId="2" state="visible" r:id="rId4"/>
    <sheet name="NewtonRaphson" sheetId="3" state="visible" r:id="rId5"/>
    <sheet name="Secan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<sst xmlns="http://schemas.openxmlformats.org/spreadsheetml/2006/main" count="215" uniqueCount="45">
  <si>
    <t xml:space="preserve">MÉTODO DE BISECCIÓN</t>
  </si>
  <si>
    <t xml:space="preserve">Ejemplo 1: f(x)=x^3-x-1 </t>
  </si>
  <si>
    <t xml:space="preserve">(Raíz válida)</t>
  </si>
  <si>
    <t xml:space="preserve">a</t>
  </si>
  <si>
    <t xml:space="preserve">b</t>
  </si>
  <si>
    <t xml:space="preserve">Iter</t>
  </si>
  <si>
    <t xml:space="preserve">f(a)</t>
  </si>
  <si>
    <t xml:space="preserve">f(b)</t>
  </si>
  <si>
    <t xml:space="preserve">Xr</t>
  </si>
  <si>
    <t xml:space="preserve">f(Xr)</t>
  </si>
  <si>
    <t xml:space="preserve">Error %</t>
  </si>
  <si>
    <t xml:space="preserve">Ejemplo 2: f(x)=x^2+4 </t>
  </si>
  <si>
    <t xml:space="preserve">(NO hay raíz real)</t>
  </si>
  <si>
    <t xml:space="preserve">Ejemplo 3: f(x)=x^3-2x+2 </t>
  </si>
  <si>
    <t xml:space="preserve">(Cambio de signo)</t>
  </si>
  <si>
    <t xml:space="preserve">Ejemplo 4: f(x)=3x-6</t>
  </si>
  <si>
    <t xml:space="preserve"> (Lineal)</t>
  </si>
  <si>
    <t xml:space="preserve">Ejemplo 5: f(x)=x^2-9 </t>
  </si>
  <si>
    <t xml:space="preserve">(Raíz negativa)</t>
  </si>
  <si>
    <t xml:space="preserve">MÉTODO DE REGLA FALSA/FALSA POSICIÓN</t>
  </si>
  <si>
    <t xml:space="preserve">Ejemplo 4: f(x)=3x-6 </t>
  </si>
  <si>
    <t xml:space="preserve">(Lineal)</t>
  </si>
  <si>
    <t xml:space="preserve">MÉTODO NEWTON RAPHSON</t>
  </si>
  <si>
    <t xml:space="preserve">(Converge)</t>
  </si>
  <si>
    <t xml:space="preserve">x0</t>
  </si>
  <si>
    <t xml:space="preserve">x_n</t>
  </si>
  <si>
    <t xml:space="preserve">f(x_n)</t>
  </si>
  <si>
    <t xml:space="preserve">f'(x_n)</t>
  </si>
  <si>
    <t xml:space="preserve">x_n+1</t>
  </si>
  <si>
    <t xml:space="preserve">Ejemplo 2: f(x)=x^3-2x+2 </t>
  </si>
  <si>
    <t xml:space="preserve">(Puede divergir)</t>
  </si>
  <si>
    <t xml:space="preserve">Ejemplo 3: f(x)=x^2+4 </t>
  </si>
  <si>
    <t xml:space="preserve">(No raíz real)</t>
  </si>
  <si>
    <t xml:space="preserve">Ejemplo 4: f(x)=x^3-x-1 </t>
  </si>
  <si>
    <t xml:space="preserve">(Buen inicio)</t>
  </si>
  <si>
    <t xml:space="preserve">Ejemplo 5: f(x)=x^2-9</t>
  </si>
  <si>
    <t xml:space="preserve"> (Raíz 3)</t>
  </si>
  <si>
    <t xml:space="preserve">MÉTODO DE LA SECANTE</t>
  </si>
  <si>
    <t xml:space="preserve">Ejemplo 1: f(x)=x^3-x-1</t>
  </si>
  <si>
    <t xml:space="preserve">x1</t>
  </si>
  <si>
    <t xml:space="preserve">x_n-1</t>
  </si>
  <si>
    <t xml:space="preserve">f(x_n-1)</t>
  </si>
  <si>
    <t xml:space="preserve">Ejemplo 3: f(x)=x^3-2x+2</t>
  </si>
  <si>
    <t xml:space="preserve">Ejemplo 4: f(x)=x^2-9</t>
  </si>
  <si>
    <t xml:space="preserve">Ejemplo 5: f(x)=x^3-x-1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</si>
</sst>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5999"/>
        <bgColor rgb="FFCCC1DA"/>
      </patternFill>
    </fill>
    <fill>
      <patternFill patternType="solid">
        <fgColor theme="6" tint="0.5999"/>
        <bgColor rgb="FFB7DEE8"/>
      </patternFill>
    </fill>
    <fill>
      <patternFill patternType="solid">
        <fgColor theme="7" tint="0.5999"/>
        <bgColor rgb="FFE6B9B8"/>
      </patternFill>
    </fill>
    <fill>
      <patternFill patternType="solid">
        <fgColor theme="8" tint="0.5999"/>
        <bgColor rgb="FF99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10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5400</xdr:colOff>
      <xdr:row>2</xdr:row>
      <xdr:rowOff>177840</xdr:rowOff>
    </xdr:from>
    <xdr:to>
      <xdr:col>14</xdr:col>
      <xdr:colOff>476640</xdr:colOff>
      <xdr:row>11</xdr:row>
      <xdr:rowOff>35280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6773760" y="539640"/>
          <a:ext cx="2317320" cy="148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13320</xdr:colOff>
      <xdr:row>13</xdr:row>
      <xdr:rowOff>177840</xdr:rowOff>
    </xdr:from>
    <xdr:to>
      <xdr:col>14</xdr:col>
      <xdr:colOff>466560</xdr:colOff>
      <xdr:row>23</xdr:row>
      <xdr:rowOff>151920</xdr:rowOff>
    </xdr:to>
    <xdr:pic>
      <xdr:nvPicPr>
        <xdr:cNvPr id="1" name="Imagen 4" descr=""/>
        <xdr:cNvPicPr/>
      </xdr:nvPicPr>
      <xdr:blipFill>
        <a:blip r:embed="rId2"/>
        <a:stretch/>
      </xdr:blipFill>
      <xdr:spPr>
        <a:xfrm>
          <a:off x="6781680" y="2530440"/>
          <a:ext cx="2299320" cy="178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1080</xdr:colOff>
      <xdr:row>26</xdr:row>
      <xdr:rowOff>25560</xdr:rowOff>
    </xdr:from>
    <xdr:to>
      <xdr:col>14</xdr:col>
      <xdr:colOff>431640</xdr:colOff>
      <xdr:row>38</xdr:row>
      <xdr:rowOff>53640</xdr:rowOff>
    </xdr:to>
    <xdr:pic>
      <xdr:nvPicPr>
        <xdr:cNvPr id="2" name="Imagen 6" descr=""/>
        <xdr:cNvPicPr/>
      </xdr:nvPicPr>
      <xdr:blipFill>
        <a:blip r:embed="rId3"/>
        <a:stretch/>
      </xdr:blipFill>
      <xdr:spPr>
        <a:xfrm>
          <a:off x="6769440" y="4730760"/>
          <a:ext cx="227664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604080</xdr:colOff>
      <xdr:row>41</xdr:row>
      <xdr:rowOff>25560</xdr:rowOff>
    </xdr:from>
    <xdr:to>
      <xdr:col>14</xdr:col>
      <xdr:colOff>1800</xdr:colOff>
      <xdr:row>49</xdr:row>
      <xdr:rowOff>25200</xdr:rowOff>
    </xdr:to>
    <xdr:pic>
      <xdr:nvPicPr>
        <xdr:cNvPr id="3" name="Imagen 8" descr=""/>
        <xdr:cNvPicPr/>
      </xdr:nvPicPr>
      <xdr:blipFill>
        <a:blip r:embed="rId4"/>
        <a:stretch/>
      </xdr:blipFill>
      <xdr:spPr>
        <a:xfrm>
          <a:off x="6757200" y="7445520"/>
          <a:ext cx="1859040" cy="144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19080</xdr:colOff>
      <xdr:row>51</xdr:row>
      <xdr:rowOff>160560</xdr:rowOff>
    </xdr:from>
    <xdr:to>
      <xdr:col>15</xdr:col>
      <xdr:colOff>495000</xdr:colOff>
      <xdr:row>60</xdr:row>
      <xdr:rowOff>13680</xdr:rowOff>
    </xdr:to>
    <xdr:pic>
      <xdr:nvPicPr>
        <xdr:cNvPr id="4" name="Imagen 10" descr=""/>
        <xdr:cNvPicPr/>
      </xdr:nvPicPr>
      <xdr:blipFill>
        <a:blip r:embed="rId5"/>
        <a:stretch/>
      </xdr:blipFill>
      <xdr:spPr>
        <a:xfrm>
          <a:off x="6787440" y="9390240"/>
          <a:ext cx="2937240" cy="1482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603360</xdr:colOff>
      <xdr:row>51</xdr:row>
      <xdr:rowOff>360</xdr:rowOff>
    </xdr:from>
    <xdr:to>
      <xdr:col>13</xdr:col>
      <xdr:colOff>247320</xdr:colOff>
      <xdr:row>59</xdr:row>
      <xdr:rowOff>179280</xdr:rowOff>
    </xdr:to>
    <xdr:pic>
      <xdr:nvPicPr>
        <xdr:cNvPr id="5" name="Imagen 2" descr=""/>
        <xdr:cNvPicPr/>
      </xdr:nvPicPr>
      <xdr:blipFill>
        <a:blip r:embed="rId1"/>
        <a:stretch/>
      </xdr:blipFill>
      <xdr:spPr>
        <a:xfrm>
          <a:off x="5526000" y="9230040"/>
          <a:ext cx="2720520" cy="162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601200</xdr:colOff>
      <xdr:row>2</xdr:row>
      <xdr:rowOff>171360</xdr:rowOff>
    </xdr:from>
    <xdr:to>
      <xdr:col>13</xdr:col>
      <xdr:colOff>12600</xdr:colOff>
      <xdr:row>12</xdr:row>
      <xdr:rowOff>16920</xdr:rowOff>
    </xdr:to>
    <xdr:pic>
      <xdr:nvPicPr>
        <xdr:cNvPr id="6" name="Imagen 4" descr=""/>
        <xdr:cNvPicPr/>
      </xdr:nvPicPr>
      <xdr:blipFill>
        <a:blip r:embed="rId2"/>
        <a:stretch/>
      </xdr:blipFill>
      <xdr:spPr>
        <a:xfrm>
          <a:off x="5523840" y="533160"/>
          <a:ext cx="2487960" cy="165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584280</xdr:colOff>
      <xdr:row>14</xdr:row>
      <xdr:rowOff>132120</xdr:rowOff>
    </xdr:from>
    <xdr:to>
      <xdr:col>12</xdr:col>
      <xdr:colOff>31320</xdr:colOff>
      <xdr:row>24</xdr:row>
      <xdr:rowOff>178920</xdr:rowOff>
    </xdr:to>
    <xdr:pic>
      <xdr:nvPicPr>
        <xdr:cNvPr id="7" name="Imagen 6" descr=""/>
        <xdr:cNvPicPr/>
      </xdr:nvPicPr>
      <xdr:blipFill>
        <a:blip r:embed="rId3"/>
        <a:stretch/>
      </xdr:blipFill>
      <xdr:spPr>
        <a:xfrm>
          <a:off x="5506920" y="2665800"/>
          <a:ext cx="1908360" cy="185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595080</xdr:colOff>
      <xdr:row>26</xdr:row>
      <xdr:rowOff>177840</xdr:rowOff>
    </xdr:from>
    <xdr:to>
      <xdr:col>12</xdr:col>
      <xdr:colOff>583920</xdr:colOff>
      <xdr:row>36</xdr:row>
      <xdr:rowOff>148680</xdr:rowOff>
    </xdr:to>
    <xdr:pic>
      <xdr:nvPicPr>
        <xdr:cNvPr id="8" name="Imagen 8" descr=""/>
        <xdr:cNvPicPr/>
      </xdr:nvPicPr>
      <xdr:blipFill>
        <a:blip r:embed="rId4"/>
        <a:stretch/>
      </xdr:blipFill>
      <xdr:spPr>
        <a:xfrm>
          <a:off x="5517720" y="4883040"/>
          <a:ext cx="2450160" cy="178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25560</xdr:colOff>
      <xdr:row>39</xdr:row>
      <xdr:rowOff>14040</xdr:rowOff>
    </xdr:from>
    <xdr:to>
      <xdr:col>12</xdr:col>
      <xdr:colOff>444240</xdr:colOff>
      <xdr:row>48</xdr:row>
      <xdr:rowOff>154800</xdr:rowOff>
    </xdr:to>
    <xdr:pic>
      <xdr:nvPicPr>
        <xdr:cNvPr id="9" name="Imagen 10" descr=""/>
        <xdr:cNvPicPr/>
      </xdr:nvPicPr>
      <xdr:blipFill>
        <a:blip r:embed="rId5"/>
        <a:stretch/>
      </xdr:blipFill>
      <xdr:spPr>
        <a:xfrm>
          <a:off x="5563440" y="7072200"/>
          <a:ext cx="2264760" cy="1769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31680</xdr:colOff>
      <xdr:row>47</xdr:row>
      <xdr:rowOff>18000</xdr:rowOff>
    </xdr:from>
    <xdr:to>
      <xdr:col>12</xdr:col>
      <xdr:colOff>126720</xdr:colOff>
      <xdr:row>55</xdr:row>
      <xdr:rowOff>149040</xdr:rowOff>
    </xdr:to>
    <xdr:pic>
      <xdr:nvPicPr>
        <xdr:cNvPr id="10" name="Imagen 2" descr=""/>
        <xdr:cNvPicPr/>
      </xdr:nvPicPr>
      <xdr:blipFill>
        <a:blip r:embed="rId1"/>
        <a:stretch/>
      </xdr:blipFill>
      <xdr:spPr>
        <a:xfrm>
          <a:off x="4954320" y="8523720"/>
          <a:ext cx="2556360" cy="157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</xdr:row>
      <xdr:rowOff>14760</xdr:rowOff>
    </xdr:from>
    <xdr:to>
      <xdr:col>12</xdr:col>
      <xdr:colOff>82080</xdr:colOff>
      <xdr:row>12</xdr:row>
      <xdr:rowOff>42480</xdr:rowOff>
    </xdr:to>
    <xdr:pic>
      <xdr:nvPicPr>
        <xdr:cNvPr id="11" name="Imagen 4" descr=""/>
        <xdr:cNvPicPr/>
      </xdr:nvPicPr>
      <xdr:blipFill>
        <a:blip r:embed="rId2"/>
        <a:stretch/>
      </xdr:blipFill>
      <xdr:spPr>
        <a:xfrm>
          <a:off x="4922640" y="557640"/>
          <a:ext cx="2543400" cy="1656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5400</xdr:colOff>
      <xdr:row>24</xdr:row>
      <xdr:rowOff>158760</xdr:rowOff>
    </xdr:from>
    <xdr:to>
      <xdr:col>10</xdr:col>
      <xdr:colOff>583920</xdr:colOff>
      <xdr:row>34</xdr:row>
      <xdr:rowOff>109440</xdr:rowOff>
    </xdr:to>
    <xdr:pic>
      <xdr:nvPicPr>
        <xdr:cNvPr id="12" name="Imagen 6" descr=""/>
        <xdr:cNvPicPr/>
      </xdr:nvPicPr>
      <xdr:blipFill>
        <a:blip r:embed="rId3"/>
        <a:stretch/>
      </xdr:blipFill>
      <xdr:spPr>
        <a:xfrm>
          <a:off x="4928040" y="4502160"/>
          <a:ext cx="1809000" cy="176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40320</xdr:colOff>
      <xdr:row>13</xdr:row>
      <xdr:rowOff>158760</xdr:rowOff>
    </xdr:from>
    <xdr:to>
      <xdr:col>11</xdr:col>
      <xdr:colOff>410040</xdr:colOff>
      <xdr:row>22</xdr:row>
      <xdr:rowOff>155880</xdr:rowOff>
    </xdr:to>
    <xdr:pic>
      <xdr:nvPicPr>
        <xdr:cNvPr id="13" name="Imagen 8" descr=""/>
        <xdr:cNvPicPr/>
      </xdr:nvPicPr>
      <xdr:blipFill>
        <a:blip r:embed="rId4"/>
        <a:stretch/>
      </xdr:blipFill>
      <xdr:spPr>
        <a:xfrm>
          <a:off x="4962960" y="2511360"/>
          <a:ext cx="2215440" cy="162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603360</xdr:colOff>
      <xdr:row>35</xdr:row>
      <xdr:rowOff>141840</xdr:rowOff>
    </xdr:from>
    <xdr:to>
      <xdr:col>12</xdr:col>
      <xdr:colOff>75960</xdr:colOff>
      <xdr:row>44</xdr:row>
      <xdr:rowOff>169560</xdr:rowOff>
    </xdr:to>
    <xdr:pic>
      <xdr:nvPicPr>
        <xdr:cNvPr id="14" name="Imagen 9" descr=""/>
        <xdr:cNvPicPr/>
      </xdr:nvPicPr>
      <xdr:blipFill>
        <a:blip r:embed="rId5"/>
        <a:stretch/>
      </xdr:blipFill>
      <xdr:spPr>
        <a:xfrm>
          <a:off x="4910400" y="6476040"/>
          <a:ext cx="2549520" cy="165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603360</xdr:colOff>
      <xdr:row>37</xdr:row>
      <xdr:rowOff>143640</xdr:rowOff>
    </xdr:from>
    <xdr:to>
      <xdr:col>13</xdr:col>
      <xdr:colOff>615240</xdr:colOff>
      <xdr:row>48</xdr:row>
      <xdr:rowOff>43920</xdr:rowOff>
    </xdr:to>
    <xdr:pic>
      <xdr:nvPicPr>
        <xdr:cNvPr id="15" name="Imagen 2" descr=""/>
        <xdr:cNvPicPr/>
      </xdr:nvPicPr>
      <xdr:blipFill>
        <a:blip r:embed="rId1"/>
        <a:stretch/>
      </xdr:blipFill>
      <xdr:spPr>
        <a:xfrm>
          <a:off x="5526000" y="6839640"/>
          <a:ext cx="3088440" cy="1891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596880</xdr:colOff>
      <xdr:row>2</xdr:row>
      <xdr:rowOff>168480</xdr:rowOff>
    </xdr:from>
    <xdr:to>
      <xdr:col>13</xdr:col>
      <xdr:colOff>252360</xdr:colOff>
      <xdr:row>13</xdr:row>
      <xdr:rowOff>31320</xdr:rowOff>
    </xdr:to>
    <xdr:pic>
      <xdr:nvPicPr>
        <xdr:cNvPr id="16" name="Imagen 4" descr=""/>
        <xdr:cNvPicPr/>
      </xdr:nvPicPr>
      <xdr:blipFill>
        <a:blip r:embed="rId2"/>
        <a:stretch/>
      </xdr:blipFill>
      <xdr:spPr>
        <a:xfrm>
          <a:off x="5519520" y="530280"/>
          <a:ext cx="2732040" cy="185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12600</xdr:colOff>
      <xdr:row>15</xdr:row>
      <xdr:rowOff>6120</xdr:rowOff>
    </xdr:from>
    <xdr:to>
      <xdr:col>12</xdr:col>
      <xdr:colOff>314640</xdr:colOff>
      <xdr:row>26</xdr:row>
      <xdr:rowOff>92880</xdr:rowOff>
    </xdr:to>
    <xdr:pic>
      <xdr:nvPicPr>
        <xdr:cNvPr id="17" name="Imagen 6" descr=""/>
        <xdr:cNvPicPr/>
      </xdr:nvPicPr>
      <xdr:blipFill>
        <a:blip r:embed="rId3"/>
        <a:stretch/>
      </xdr:blipFill>
      <xdr:spPr>
        <a:xfrm>
          <a:off x="5550480" y="2720880"/>
          <a:ext cx="2148120" cy="2077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12600</xdr:colOff>
      <xdr:row>26</xdr:row>
      <xdr:rowOff>165240</xdr:rowOff>
    </xdr:from>
    <xdr:to>
      <xdr:col>13</xdr:col>
      <xdr:colOff>381240</xdr:colOff>
      <xdr:row>36</xdr:row>
      <xdr:rowOff>120240</xdr:rowOff>
    </xdr:to>
    <xdr:pic>
      <xdr:nvPicPr>
        <xdr:cNvPr id="18" name="Imagen 8" descr=""/>
        <xdr:cNvPicPr/>
      </xdr:nvPicPr>
      <xdr:blipFill>
        <a:blip r:embed="rId4"/>
        <a:stretch/>
      </xdr:blipFill>
      <xdr:spPr>
        <a:xfrm>
          <a:off x="5550480" y="4870440"/>
          <a:ext cx="2829960" cy="176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592920</xdr:colOff>
      <xdr:row>50</xdr:row>
      <xdr:rowOff>158760</xdr:rowOff>
    </xdr:from>
    <xdr:to>
      <xdr:col>13</xdr:col>
      <xdr:colOff>400320</xdr:colOff>
      <xdr:row>61</xdr:row>
      <xdr:rowOff>25560</xdr:rowOff>
    </xdr:to>
    <xdr:pic>
      <xdr:nvPicPr>
        <xdr:cNvPr id="19" name="Imagen 10" descr=""/>
        <xdr:cNvPicPr/>
      </xdr:nvPicPr>
      <xdr:blipFill>
        <a:blip r:embed="rId5"/>
        <a:stretch/>
      </xdr:blipFill>
      <xdr:spPr>
        <a:xfrm>
          <a:off x="5515560" y="9207360"/>
          <a:ext cx="2883960" cy="1857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8" activeCellId="0" sqref="K58"/>
    </sheetView>
  </sheetViews>
  <sheetFormatPr defaultColWidth="8.73046875" defaultRowHeight="14.25" zeroHeight="false" outlineLevelRow="0" outlineLevelCol="0"/>
  <sheetData>
    <row r="2" customFormat="false" ht="14.25" hidden="false" customHeight="false" outlineLevel="0" collapsed="false">
      <c r="B2" s="1" t="s">
        <v>0</v>
      </c>
      <c r="C2" s="1"/>
      <c r="D2" s="1"/>
    </row>
    <row r="4" customFormat="false" ht="14.25" hidden="false" customHeight="false" outlineLevel="0" collapsed="false">
      <c r="B4" s="1" t="s">
        <v>1</v>
      </c>
      <c r="C4" s="1"/>
      <c r="D4" s="1"/>
      <c r="E4" s="2" t="s">
        <v>2</v>
      </c>
    </row>
    <row r="5" customFormat="false" ht="14.25" hidden="false" customHeight="false" outlineLevel="0" collapsed="false">
      <c r="B5" s="3" t="s">
        <v>3</v>
      </c>
      <c r="C5" s="4" t="n">
        <v>1</v>
      </c>
    </row>
    <row r="6" customFormat="false" ht="14.25" hidden="false" customHeight="false" outlineLevel="0" collapsed="false">
      <c r="B6" s="3" t="s">
        <v>4</v>
      </c>
      <c r="C6" s="4" t="n">
        <v>2</v>
      </c>
    </row>
    <row r="8" customFormat="false" ht="14.25" hidden="false" customHeight="false" outlineLevel="0" collapsed="false">
      <c r="B8" s="5" t="s">
        <v>5</v>
      </c>
      <c r="C8" s="5" t="s">
        <v>3</v>
      </c>
      <c r="D8" s="5" t="s">
        <v>4</v>
      </c>
      <c r="E8" s="5" t="s">
        <v>6</v>
      </c>
      <c r="F8" s="5" t="s">
        <v>7</v>
      </c>
      <c r="G8" s="5" t="s">
        <v>8</v>
      </c>
      <c r="H8" s="5" t="s">
        <v>9</v>
      </c>
      <c r="I8" s="5" t="s">
        <v>10</v>
      </c>
    </row>
    <row r="9" customFormat="false" ht="14.25" hidden="false" customHeight="false" outlineLevel="0" collapsed="false">
      <c r="B9" s="4" t="n">
        <v>1</v>
      </c>
      <c r="C9" s="4" t="n">
        <f aca="false">C5</f>
        <v>1</v>
      </c>
      <c r="D9" s="4" t="n">
        <f aca="false">C6</f>
        <v>2</v>
      </c>
      <c r="E9" s="4" t="n">
        <f aca="false">C9^3-C9-1</f>
        <v>-1</v>
      </c>
      <c r="F9" s="4" t="n">
        <f aca="false">D9^3-D9-1</f>
        <v>5</v>
      </c>
      <c r="G9" s="4" t="n">
        <f aca="false">(C9+D9)/2</f>
        <v>1.5</v>
      </c>
      <c r="H9" s="4" t="n">
        <f aca="false">G9^3-G9-1</f>
        <v>0.875</v>
      </c>
      <c r="I9" s="4"/>
    </row>
    <row r="10" customFormat="false" ht="14.25" hidden="false" customHeight="false" outlineLevel="0" collapsed="false">
      <c r="B10" s="4" t="n">
        <v>2</v>
      </c>
      <c r="C10" s="4" t="n">
        <f aca="false">IF(E9*H9&lt;0,C9,G9)</f>
        <v>1</v>
      </c>
      <c r="D10" s="4" t="n">
        <f aca="false">IF(E9*H9&lt;0,G9,D9)</f>
        <v>1.5</v>
      </c>
      <c r="E10" s="4" t="n">
        <f aca="false">C10^3-C10-1</f>
        <v>-1</v>
      </c>
      <c r="F10" s="4" t="n">
        <f aca="false">D10^3-D10-1</f>
        <v>0.875</v>
      </c>
      <c r="G10" s="4" t="n">
        <f aca="false">(C10+D10)/2</f>
        <v>1.25</v>
      </c>
      <c r="H10" s="4" t="n">
        <f aca="false">G10^3-G10-1</f>
        <v>-0.296875</v>
      </c>
      <c r="I10" s="4" t="n">
        <f aca="false">ABS((G10-G9)/G10)*100</f>
        <v>20</v>
      </c>
    </row>
    <row r="11" customFormat="false" ht="14.25" hidden="false" customHeight="false" outlineLevel="0" collapsed="false">
      <c r="B11" s="4" t="n">
        <v>3</v>
      </c>
      <c r="C11" s="4" t="n">
        <f aca="false">IF(E10*H10&lt;0,C10,G10)</f>
        <v>1.25</v>
      </c>
      <c r="D11" s="4" t="n">
        <f aca="false">IF(E10*H10&lt;0,G10,D10)</f>
        <v>1.5</v>
      </c>
      <c r="E11" s="4" t="n">
        <f aca="false">C11^3-C11-1</f>
        <v>-0.296875</v>
      </c>
      <c r="F11" s="4" t="n">
        <f aca="false">D11^3-D11-1</f>
        <v>0.875</v>
      </c>
      <c r="G11" s="4" t="n">
        <f aca="false">(C11+D11)/2</f>
        <v>1.375</v>
      </c>
      <c r="H11" s="4" t="n">
        <f aca="false">G11^3-G11-1</f>
        <v>0.224609375</v>
      </c>
      <c r="I11" s="4" t="n">
        <f aca="false">ABS((G11-G10)/G11)*100</f>
        <v>9.09090909090909</v>
      </c>
    </row>
    <row r="12" customFormat="false" ht="14.25" hidden="false" customHeight="false" outlineLevel="0" collapsed="false">
      <c r="B12" s="4" t="n">
        <v>4</v>
      </c>
      <c r="C12" s="4" t="n">
        <f aca="false">IF(E11*H11&lt;0,C11,G11)</f>
        <v>1.25</v>
      </c>
      <c r="D12" s="4" t="n">
        <f aca="false">IF(E11*H11&lt;0,G11,D11)</f>
        <v>1.375</v>
      </c>
      <c r="E12" s="4" t="n">
        <f aca="false">C12^3-C12-1</f>
        <v>-0.296875</v>
      </c>
      <c r="F12" s="4" t="n">
        <f aca="false">D12^3-D12-1</f>
        <v>0.224609375</v>
      </c>
      <c r="G12" s="4" t="n">
        <f aca="false">(C12+D12)/2</f>
        <v>1.3125</v>
      </c>
      <c r="H12" s="4" t="n">
        <f aca="false">G12^3-G12-1</f>
        <v>-0.051513671875</v>
      </c>
      <c r="I12" s="4" t="n">
        <f aca="false">ABS((G12-G11)/G12)*100</f>
        <v>4.76190476190476</v>
      </c>
    </row>
    <row r="13" customFormat="false" ht="14.25" hidden="false" customHeight="false" outlineLevel="0" collapsed="false">
      <c r="B13" s="4" t="n">
        <v>5</v>
      </c>
      <c r="C13" s="4" t="n">
        <f aca="false">IF(E12*H12&lt;0,C12,G12)</f>
        <v>1.3125</v>
      </c>
      <c r="D13" s="4" t="n">
        <f aca="false">IF(E12*H12&lt;0,G12,D12)</f>
        <v>1.375</v>
      </c>
      <c r="E13" s="4" t="n">
        <f aca="false">C13^3-C13-1</f>
        <v>-0.051513671875</v>
      </c>
      <c r="F13" s="4" t="n">
        <f aca="false">D13^3-D13-1</f>
        <v>0.224609375</v>
      </c>
      <c r="G13" s="4" t="n">
        <f aca="false">(C13+D13)/2</f>
        <v>1.34375</v>
      </c>
      <c r="H13" s="4" t="n">
        <f aca="false">G13^3-G13-1</f>
        <v>0.082611083984375</v>
      </c>
      <c r="I13" s="4" t="n">
        <f aca="false">ABS((G13-G12)/G13)*100</f>
        <v>2.32558139534884</v>
      </c>
    </row>
    <row r="16" customFormat="false" ht="14.25" hidden="false" customHeight="false" outlineLevel="0" collapsed="false">
      <c r="B16" s="6" t="s">
        <v>11</v>
      </c>
      <c r="C16" s="6"/>
      <c r="E16" s="2" t="s">
        <v>12</v>
      </c>
    </row>
    <row r="17" customFormat="false" ht="14.25" hidden="false" customHeight="false" outlineLevel="0" collapsed="false">
      <c r="B17" s="3" t="s">
        <v>3</v>
      </c>
      <c r="C17" s="4" t="n">
        <v>-2</v>
      </c>
    </row>
    <row r="18" customFormat="false" ht="14.25" hidden="false" customHeight="false" outlineLevel="0" collapsed="false">
      <c r="B18" s="3" t="s">
        <v>4</v>
      </c>
      <c r="C18" s="4" t="n">
        <v>2</v>
      </c>
    </row>
    <row r="20" customFormat="false" ht="14.25" hidden="false" customHeight="false" outlineLevel="0" collapsed="false">
      <c r="B20" s="5" t="s">
        <v>5</v>
      </c>
      <c r="C20" s="5" t="s">
        <v>3</v>
      </c>
      <c r="D20" s="5" t="s">
        <v>4</v>
      </c>
      <c r="E20" s="5" t="s">
        <v>6</v>
      </c>
      <c r="F20" s="5" t="s">
        <v>7</v>
      </c>
      <c r="G20" s="5" t="s">
        <v>8</v>
      </c>
      <c r="H20" s="5" t="s">
        <v>9</v>
      </c>
      <c r="I20" s="5" t="s">
        <v>10</v>
      </c>
    </row>
    <row r="21" customFormat="false" ht="14.25" hidden="false" customHeight="false" outlineLevel="0" collapsed="false">
      <c r="B21" s="4" t="n">
        <v>1</v>
      </c>
      <c r="C21" s="4" t="n">
        <f aca="false">C17</f>
        <v>-2</v>
      </c>
      <c r="D21" s="4" t="n">
        <f aca="false">C18</f>
        <v>2</v>
      </c>
      <c r="E21" s="4" t="n">
        <f aca="false">C21^2+4</f>
        <v>8</v>
      </c>
      <c r="F21" s="4" t="n">
        <f aca="false">D21^2+4</f>
        <v>8</v>
      </c>
      <c r="G21" s="4" t="n">
        <f aca="false">(C21+D21)/2</f>
        <v>0</v>
      </c>
      <c r="H21" s="4" t="n">
        <f aca="false">G21^2+4</f>
        <v>4</v>
      </c>
      <c r="I21" s="4"/>
    </row>
    <row r="22" customFormat="false" ht="14.25" hidden="false" customHeight="false" outlineLevel="0" collapsed="false">
      <c r="B22" s="4" t="n">
        <v>2</v>
      </c>
      <c r="C22" s="4" t="n">
        <f aca="false">IF(E21*H21&lt;0,C21,G21)</f>
        <v>0</v>
      </c>
      <c r="D22" s="4" t="n">
        <f aca="false">IF(E21*H21&lt;0,G21,D21)</f>
        <v>2</v>
      </c>
      <c r="E22" s="4" t="n">
        <f aca="false">C22^2+4</f>
        <v>4</v>
      </c>
      <c r="F22" s="4" t="n">
        <f aca="false">D22^2+4</f>
        <v>8</v>
      </c>
      <c r="G22" s="4" t="n">
        <f aca="false">(C22+D22)/2</f>
        <v>1</v>
      </c>
      <c r="H22" s="4" t="n">
        <f aca="false">G22^2+4</f>
        <v>5</v>
      </c>
      <c r="I22" s="4" t="n">
        <f aca="false">ABS((G22-G21)/G22)*100</f>
        <v>100</v>
      </c>
    </row>
    <row r="23" customFormat="false" ht="14.25" hidden="false" customHeight="false" outlineLevel="0" collapsed="false">
      <c r="B23" s="4" t="n">
        <v>3</v>
      </c>
      <c r="C23" s="4" t="n">
        <f aca="false">IF(E22*H22&lt;0,C22,G22)</f>
        <v>1</v>
      </c>
      <c r="D23" s="4" t="n">
        <f aca="false">IF(E22*H22&lt;0,G22,D22)</f>
        <v>2</v>
      </c>
      <c r="E23" s="4" t="n">
        <f aca="false">C23^2+4</f>
        <v>5</v>
      </c>
      <c r="F23" s="4" t="n">
        <f aca="false">D23^2+4</f>
        <v>8</v>
      </c>
      <c r="G23" s="4" t="n">
        <f aca="false">(C23+D23)/2</f>
        <v>1.5</v>
      </c>
      <c r="H23" s="4" t="n">
        <f aca="false">G23^2+4</f>
        <v>6.25</v>
      </c>
      <c r="I23" s="4" t="n">
        <f aca="false">ABS((G23-G22)/G23)*100</f>
        <v>33.3333333333333</v>
      </c>
    </row>
    <row r="24" customFormat="false" ht="14.25" hidden="false" customHeight="false" outlineLevel="0" collapsed="false">
      <c r="B24" s="4" t="n">
        <v>4</v>
      </c>
      <c r="C24" s="4" t="n">
        <f aca="false">IF(E23*H23&lt;0,C23,G23)</f>
        <v>1.5</v>
      </c>
      <c r="D24" s="4" t="n">
        <f aca="false">IF(E23*H23&lt;0,G23,D23)</f>
        <v>2</v>
      </c>
      <c r="E24" s="4" t="n">
        <f aca="false">C24^2+4</f>
        <v>6.25</v>
      </c>
      <c r="F24" s="4" t="n">
        <f aca="false">D24^2+4</f>
        <v>8</v>
      </c>
      <c r="G24" s="4" t="n">
        <f aca="false">(C24+D24)/2</f>
        <v>1.75</v>
      </c>
      <c r="H24" s="4" t="n">
        <f aca="false">G24^2+4</f>
        <v>7.0625</v>
      </c>
      <c r="I24" s="4" t="n">
        <f aca="false">ABS((G24-G23)/G24)*100</f>
        <v>14.2857142857143</v>
      </c>
    </row>
    <row r="25" customFormat="false" ht="14.25" hidden="false" customHeight="false" outlineLevel="0" collapsed="false">
      <c r="B25" s="4" t="n">
        <v>5</v>
      </c>
      <c r="C25" s="4" t="n">
        <f aca="false">IF(E24*H24&lt;0,C24,G24)</f>
        <v>1.75</v>
      </c>
      <c r="D25" s="4" t="n">
        <f aca="false">IF(E24*H24&lt;0,G24,D24)</f>
        <v>2</v>
      </c>
      <c r="E25" s="4" t="n">
        <f aca="false">C25^2+4</f>
        <v>7.0625</v>
      </c>
      <c r="F25" s="4" t="n">
        <f aca="false">D25^2+4</f>
        <v>8</v>
      </c>
      <c r="G25" s="4" t="n">
        <f aca="false">(C25+D25)/2</f>
        <v>1.875</v>
      </c>
      <c r="H25" s="4" t="n">
        <f aca="false">G25^2+4</f>
        <v>7.515625</v>
      </c>
      <c r="I25" s="4" t="n">
        <f aca="false">ABS((G25-G24)/G25)*100</f>
        <v>6.66666666666667</v>
      </c>
    </row>
    <row r="28" customFormat="false" ht="14.25" hidden="false" customHeight="false" outlineLevel="0" collapsed="false">
      <c r="B28" s="5" t="s">
        <v>13</v>
      </c>
      <c r="C28" s="5"/>
      <c r="D28" s="3"/>
      <c r="E28" s="7" t="s">
        <v>14</v>
      </c>
      <c r="F28" s="7"/>
    </row>
    <row r="29" customFormat="false" ht="14.25" hidden="false" customHeight="false" outlineLevel="0" collapsed="false">
      <c r="B29" s="8" t="s">
        <v>3</v>
      </c>
      <c r="C29" s="9" t="n">
        <v>-3</v>
      </c>
    </row>
    <row r="30" customFormat="false" ht="14.25" hidden="false" customHeight="false" outlineLevel="0" collapsed="false">
      <c r="B30" s="3" t="s">
        <v>4</v>
      </c>
      <c r="C30" s="4" t="n">
        <v>-1</v>
      </c>
    </row>
    <row r="32" customFormat="false" ht="14.25" hidden="false" customHeight="false" outlineLevel="0" collapsed="false">
      <c r="B32" s="5" t="s">
        <v>5</v>
      </c>
      <c r="C32" s="5" t="s">
        <v>3</v>
      </c>
      <c r="D32" s="5" t="s">
        <v>4</v>
      </c>
      <c r="E32" s="5" t="s">
        <v>6</v>
      </c>
      <c r="F32" s="5" t="s">
        <v>7</v>
      </c>
      <c r="G32" s="5" t="s">
        <v>8</v>
      </c>
      <c r="H32" s="5" t="s">
        <v>9</v>
      </c>
      <c r="I32" s="5" t="s">
        <v>10</v>
      </c>
    </row>
    <row r="33" customFormat="false" ht="14.25" hidden="false" customHeight="false" outlineLevel="0" collapsed="false">
      <c r="B33" s="4" t="n">
        <v>1</v>
      </c>
      <c r="C33" s="4" t="n">
        <f aca="false">C29</f>
        <v>-3</v>
      </c>
      <c r="D33" s="4" t="n">
        <f aca="false">C30</f>
        <v>-1</v>
      </c>
      <c r="E33" s="4" t="n">
        <f aca="false">C33^3-2*C33+2</f>
        <v>-19</v>
      </c>
      <c r="F33" s="4" t="n">
        <f aca="false">D33^3-2*D33+2</f>
        <v>3</v>
      </c>
      <c r="G33" s="4" t="n">
        <f aca="false">(C33+D33)/2</f>
        <v>-2</v>
      </c>
      <c r="H33" s="4" t="n">
        <f aca="false">G33^3-2*G33+2</f>
        <v>-2</v>
      </c>
      <c r="I33" s="4"/>
    </row>
    <row r="34" customFormat="false" ht="14.25" hidden="false" customHeight="false" outlineLevel="0" collapsed="false">
      <c r="B34" s="4" t="n">
        <v>2</v>
      </c>
      <c r="C34" s="4" t="n">
        <f aca="false">IF(E33*H33&lt;0,C33,G33)</f>
        <v>-2</v>
      </c>
      <c r="D34" s="4" t="n">
        <f aca="false">IF(E33*H33&lt;0,G33,D33)</f>
        <v>-1</v>
      </c>
      <c r="E34" s="4" t="n">
        <f aca="false">C34^3-2*C34+2</f>
        <v>-2</v>
      </c>
      <c r="F34" s="4" t="n">
        <f aca="false">D34^3-2*D34+2</f>
        <v>3</v>
      </c>
      <c r="G34" s="4" t="n">
        <f aca="false">(C34+D34)/2</f>
        <v>-1.5</v>
      </c>
      <c r="H34" s="4" t="n">
        <f aca="false">G34^3-2*G34+2</f>
        <v>1.625</v>
      </c>
      <c r="I34" s="4" t="n">
        <f aca="false">ABS((G34-G33)/G34)*100</f>
        <v>33.3333333333333</v>
      </c>
    </row>
    <row r="35" customFormat="false" ht="14.25" hidden="false" customHeight="false" outlineLevel="0" collapsed="false">
      <c r="B35" s="4" t="n">
        <v>3</v>
      </c>
      <c r="C35" s="4" t="n">
        <f aca="false">IF(E34*H34&lt;0,C34,G34)</f>
        <v>-2</v>
      </c>
      <c r="D35" s="4" t="n">
        <f aca="false">IF(E34*H34&lt;0,G34,D34)</f>
        <v>-1.5</v>
      </c>
      <c r="E35" s="4" t="n">
        <f aca="false">C35^3-2*C35+2</f>
        <v>-2</v>
      </c>
      <c r="F35" s="4" t="n">
        <f aca="false">D35^3-2*D35+2</f>
        <v>1.625</v>
      </c>
      <c r="G35" s="4" t="n">
        <f aca="false">(C35+D35)/2</f>
        <v>-1.75</v>
      </c>
      <c r="H35" s="4" t="n">
        <f aca="false">G35^3-2*G35+2</f>
        <v>0.140625</v>
      </c>
      <c r="I35" s="4" t="n">
        <f aca="false">ABS((G35-G34)/G35)*100</f>
        <v>14.2857142857143</v>
      </c>
    </row>
    <row r="36" customFormat="false" ht="14.25" hidden="false" customHeight="false" outlineLevel="0" collapsed="false">
      <c r="B36" s="4" t="n">
        <v>4</v>
      </c>
      <c r="C36" s="4" t="n">
        <f aca="false">IF(E35*H35&lt;0,C35,G35)</f>
        <v>-2</v>
      </c>
      <c r="D36" s="4" t="n">
        <f aca="false">IF(E35*H35&lt;0,G35,D35)</f>
        <v>-1.75</v>
      </c>
      <c r="E36" s="4" t="n">
        <f aca="false">C36^3-2*C36+2</f>
        <v>-2</v>
      </c>
      <c r="F36" s="4" t="n">
        <f aca="false">D36^3-2*D36+2</f>
        <v>0.140625</v>
      </c>
      <c r="G36" s="4" t="n">
        <f aca="false">(C36+D36)/2</f>
        <v>-1.875</v>
      </c>
      <c r="H36" s="4" t="n">
        <f aca="false">G36^3-2*G36+2</f>
        <v>-0.841796875</v>
      </c>
      <c r="I36" s="4" t="n">
        <f aca="false">ABS((G36-G35)/G36)*100</f>
        <v>6.66666666666667</v>
      </c>
    </row>
    <row r="37" customFormat="false" ht="14.25" hidden="false" customHeight="false" outlineLevel="0" collapsed="false">
      <c r="B37" s="4" t="n">
        <v>5</v>
      </c>
      <c r="C37" s="4" t="n">
        <f aca="false">IF(E36*H36&lt;0,C36,G36)</f>
        <v>-1.875</v>
      </c>
      <c r="D37" s="4" t="n">
        <f aca="false">IF(E36*H36&lt;0,G36,D36)</f>
        <v>-1.75</v>
      </c>
      <c r="E37" s="4" t="n">
        <f aca="false">C37^3-2*C37+2</f>
        <v>-0.841796875</v>
      </c>
      <c r="F37" s="4" t="n">
        <f aca="false">D37^3-2*D37+2</f>
        <v>0.140625</v>
      </c>
      <c r="G37" s="4" t="n">
        <f aca="false">(C37+D37)/2</f>
        <v>-1.8125</v>
      </c>
      <c r="H37" s="4" t="n">
        <f aca="false">G37^3-2*G37+2</f>
        <v>-0.329345703125</v>
      </c>
      <c r="I37" s="4" t="n">
        <f aca="false">ABS((G37-G36)/G37)*100</f>
        <v>3.44827586206897</v>
      </c>
    </row>
    <row r="40" customFormat="false" ht="14.25" hidden="false" customHeight="false" outlineLevel="0" collapsed="false">
      <c r="B40" s="1" t="s">
        <v>15</v>
      </c>
      <c r="C40" s="1"/>
      <c r="E40" s="2" t="s">
        <v>16</v>
      </c>
    </row>
    <row r="41" customFormat="false" ht="14.25" hidden="false" customHeight="false" outlineLevel="0" collapsed="false">
      <c r="B41" s="3" t="s">
        <v>3</v>
      </c>
      <c r="C41" s="4" t="n">
        <v>0</v>
      </c>
    </row>
    <row r="42" customFormat="false" ht="14.25" hidden="false" customHeight="false" outlineLevel="0" collapsed="false">
      <c r="B42" s="3" t="s">
        <v>4</v>
      </c>
      <c r="C42" s="4" t="n">
        <v>5</v>
      </c>
    </row>
    <row r="44" customFormat="false" ht="14.25" hidden="false" customHeight="false" outlineLevel="0" collapsed="false">
      <c r="B44" s="5" t="s">
        <v>5</v>
      </c>
      <c r="C44" s="5" t="s">
        <v>3</v>
      </c>
      <c r="D44" s="5" t="s">
        <v>4</v>
      </c>
      <c r="E44" s="5" t="s">
        <v>6</v>
      </c>
      <c r="F44" s="5" t="s">
        <v>7</v>
      </c>
      <c r="G44" s="5" t="s">
        <v>8</v>
      </c>
      <c r="H44" s="5" t="s">
        <v>9</v>
      </c>
      <c r="I44" s="5" t="s">
        <v>10</v>
      </c>
    </row>
    <row r="45" customFormat="false" ht="14.25" hidden="false" customHeight="false" outlineLevel="0" collapsed="false">
      <c r="B45" s="4" t="n">
        <v>1</v>
      </c>
      <c r="C45" s="4" t="n">
        <f aca="false">C41</f>
        <v>0</v>
      </c>
      <c r="D45" s="4" t="n">
        <f aca="false">C42</f>
        <v>5</v>
      </c>
      <c r="E45" s="4" t="n">
        <f aca="false">3*C45-6</f>
        <v>-6</v>
      </c>
      <c r="F45" s="4" t="n">
        <f aca="false">3*D45-6</f>
        <v>9</v>
      </c>
      <c r="G45" s="4" t="n">
        <f aca="false">(C45+D45)/2</f>
        <v>2.5</v>
      </c>
      <c r="H45" s="4" t="n">
        <f aca="false">3*G45-6</f>
        <v>1.5</v>
      </c>
      <c r="I45" s="4"/>
    </row>
    <row r="46" customFormat="false" ht="14.25" hidden="false" customHeight="false" outlineLevel="0" collapsed="false">
      <c r="B46" s="4" t="n">
        <v>2</v>
      </c>
      <c r="C46" s="4" t="n">
        <f aca="false">IF(E45*H45&lt;0,C45,G45)</f>
        <v>0</v>
      </c>
      <c r="D46" s="4" t="n">
        <f aca="false">IF(E45*H45&lt;0,G45,D45)</f>
        <v>2.5</v>
      </c>
      <c r="E46" s="4" t="n">
        <f aca="false">3*C46-6</f>
        <v>-6</v>
      </c>
      <c r="F46" s="4" t="n">
        <f aca="false">3*D46-6</f>
        <v>1.5</v>
      </c>
      <c r="G46" s="4" t="n">
        <f aca="false">(C46+D46)/2</f>
        <v>1.25</v>
      </c>
      <c r="H46" s="4" t="n">
        <f aca="false">3*G46-6</f>
        <v>-2.25</v>
      </c>
      <c r="I46" s="4" t="n">
        <f aca="false">ABS((G46-G45)/G46)*100</f>
        <v>100</v>
      </c>
    </row>
    <row r="47" customFormat="false" ht="14.25" hidden="false" customHeight="false" outlineLevel="0" collapsed="false">
      <c r="B47" s="4" t="n">
        <v>3</v>
      </c>
      <c r="C47" s="4" t="n">
        <f aca="false">IF(E46*H46&lt;0,C46,G46)</f>
        <v>1.25</v>
      </c>
      <c r="D47" s="4" t="n">
        <f aca="false">IF(E46*H46&lt;0,G46,D46)</f>
        <v>2.5</v>
      </c>
      <c r="E47" s="4" t="n">
        <f aca="false">3*C47-6</f>
        <v>-2.25</v>
      </c>
      <c r="F47" s="4" t="n">
        <f aca="false">3*D47-6</f>
        <v>1.5</v>
      </c>
      <c r="G47" s="4" t="n">
        <f aca="false">(C47+D47)/2</f>
        <v>1.875</v>
      </c>
      <c r="H47" s="4" t="n">
        <f aca="false">3*G47-6</f>
        <v>-0.375</v>
      </c>
      <c r="I47" s="4" t="n">
        <f aca="false">ABS((G47-G46)/G47)*100</f>
        <v>33.3333333333333</v>
      </c>
    </row>
    <row r="48" customFormat="false" ht="14.25" hidden="false" customHeight="false" outlineLevel="0" collapsed="false">
      <c r="B48" s="4" t="n">
        <v>4</v>
      </c>
      <c r="C48" s="4" t="n">
        <f aca="false">IF(E47*H47&lt;0,C47,G47)</f>
        <v>1.875</v>
      </c>
      <c r="D48" s="4" t="n">
        <f aca="false">IF(E47*H47&lt;0,G47,D47)</f>
        <v>2.5</v>
      </c>
      <c r="E48" s="4" t="n">
        <f aca="false">3*C48-6</f>
        <v>-0.375</v>
      </c>
      <c r="F48" s="4" t="n">
        <f aca="false">3*D48-6</f>
        <v>1.5</v>
      </c>
      <c r="G48" s="4" t="n">
        <f aca="false">(C48+D48)/2</f>
        <v>2.1875</v>
      </c>
      <c r="H48" s="4" t="n">
        <f aca="false">3*G48-6</f>
        <v>0.5625</v>
      </c>
      <c r="I48" s="4" t="n">
        <f aca="false">ABS((G48-G47)/G48)*100</f>
        <v>14.2857142857143</v>
      </c>
    </row>
    <row r="49" customFormat="false" ht="14.25" hidden="false" customHeight="false" outlineLevel="0" collapsed="false">
      <c r="B49" s="4" t="n">
        <v>5</v>
      </c>
      <c r="C49" s="4" t="n">
        <f aca="false">IF(E48*H48&lt;0,C48,G48)</f>
        <v>1.875</v>
      </c>
      <c r="D49" s="4" t="n">
        <f aca="false">IF(E48*H48&lt;0,G48,D48)</f>
        <v>2.1875</v>
      </c>
      <c r="E49" s="4" t="n">
        <f aca="false">3*C49-6</f>
        <v>-0.375</v>
      </c>
      <c r="F49" s="4" t="n">
        <f aca="false">3*D49-6</f>
        <v>0.5625</v>
      </c>
      <c r="G49" s="4" t="n">
        <f aca="false">(C49+D49)/2</f>
        <v>2.03125</v>
      </c>
      <c r="H49" s="4" t="n">
        <f aca="false">3*G49-6</f>
        <v>0.09375</v>
      </c>
      <c r="I49" s="4" t="n">
        <f aca="false">ABS((G49-G48)/G49)*100</f>
        <v>7.69230769230769</v>
      </c>
    </row>
    <row r="52" customFormat="false" ht="14.25" hidden="false" customHeight="false" outlineLevel="0" collapsed="false">
      <c r="B52" s="1" t="s">
        <v>17</v>
      </c>
      <c r="C52" s="1"/>
      <c r="E52" s="2" t="s">
        <v>18</v>
      </c>
    </row>
    <row r="53" customFormat="false" ht="14.25" hidden="false" customHeight="false" outlineLevel="0" collapsed="false">
      <c r="B53" s="3" t="s">
        <v>3</v>
      </c>
      <c r="C53" s="4" t="n">
        <v>-5</v>
      </c>
    </row>
    <row r="54" customFormat="false" ht="14.25" hidden="false" customHeight="false" outlineLevel="0" collapsed="false">
      <c r="B54" s="3" t="s">
        <v>4</v>
      </c>
      <c r="C54" s="4" t="n">
        <v>-1</v>
      </c>
    </row>
    <row r="56" customFormat="false" ht="14.25" hidden="false" customHeight="false" outlineLevel="0" collapsed="false">
      <c r="B56" s="5" t="s">
        <v>5</v>
      </c>
      <c r="C56" s="5" t="s">
        <v>3</v>
      </c>
      <c r="D56" s="5" t="s">
        <v>4</v>
      </c>
      <c r="E56" s="5" t="s">
        <v>6</v>
      </c>
      <c r="F56" s="5" t="s">
        <v>7</v>
      </c>
      <c r="G56" s="5" t="s">
        <v>8</v>
      </c>
      <c r="H56" s="5" t="s">
        <v>9</v>
      </c>
      <c r="I56" s="5" t="s">
        <v>10</v>
      </c>
    </row>
    <row r="57" customFormat="false" ht="14.25" hidden="false" customHeight="false" outlineLevel="0" collapsed="false">
      <c r="B57" s="4" t="n">
        <v>1</v>
      </c>
      <c r="C57" s="4" t="n">
        <f aca="false">C53</f>
        <v>-5</v>
      </c>
      <c r="D57" s="4" t="n">
        <f aca="false">C54</f>
        <v>-1</v>
      </c>
      <c r="E57" s="4" t="n">
        <f aca="false">C57^2-9</f>
        <v>16</v>
      </c>
      <c r="F57" s="4" t="n">
        <f aca="false">D57^2-9</f>
        <v>-8</v>
      </c>
      <c r="G57" s="4" t="n">
        <f aca="false">(C57+D57)/2</f>
        <v>-3</v>
      </c>
      <c r="H57" s="4" t="n">
        <f aca="false">G57^2-9</f>
        <v>0</v>
      </c>
      <c r="I57" s="4"/>
    </row>
    <row r="58" customFormat="false" ht="14.25" hidden="false" customHeight="false" outlineLevel="0" collapsed="false">
      <c r="B58" s="4" t="n">
        <v>2</v>
      </c>
      <c r="C58" s="4" t="n">
        <f aca="false">IF(E57*H57&lt;0,C57,G57)</f>
        <v>-3</v>
      </c>
      <c r="D58" s="4" t="n">
        <f aca="false">IF(E57*H57&lt;0,G57,D57)</f>
        <v>-1</v>
      </c>
      <c r="E58" s="4" t="n">
        <f aca="false">C58^2-9</f>
        <v>0</v>
      </c>
      <c r="F58" s="4" t="n">
        <f aca="false">D58^2-9</f>
        <v>-8</v>
      </c>
      <c r="G58" s="4" t="n">
        <f aca="false">(C58+D58)/2</f>
        <v>-2</v>
      </c>
      <c r="H58" s="4" t="n">
        <f aca="false">G58^2-9</f>
        <v>-5</v>
      </c>
      <c r="I58" s="4" t="n">
        <f aca="false">ABS((G58-G57)/G58)*100</f>
        <v>50</v>
      </c>
    </row>
    <row r="59" customFormat="false" ht="14.25" hidden="false" customHeight="false" outlineLevel="0" collapsed="false">
      <c r="B59" s="4" t="n">
        <v>3</v>
      </c>
      <c r="C59" s="4" t="n">
        <f aca="false">IF(E58*H58&lt;0,C58,G58)</f>
        <v>-2</v>
      </c>
      <c r="D59" s="4" t="n">
        <f aca="false">IF(E58*H58&lt;0,G58,D58)</f>
        <v>-1</v>
      </c>
      <c r="E59" s="4" t="n">
        <f aca="false">C59^2-9</f>
        <v>-5</v>
      </c>
      <c r="F59" s="4" t="n">
        <f aca="false">D59^2-9</f>
        <v>-8</v>
      </c>
      <c r="G59" s="4" t="n">
        <f aca="false">(C59+D59)/2</f>
        <v>-1.5</v>
      </c>
      <c r="H59" s="4" t="n">
        <f aca="false">G59^2-9</f>
        <v>-6.75</v>
      </c>
      <c r="I59" s="4" t="n">
        <f aca="false">ABS((G59-G58)/G59)*100</f>
        <v>33.3333333333333</v>
      </c>
    </row>
    <row r="60" customFormat="false" ht="14.25" hidden="false" customHeight="false" outlineLevel="0" collapsed="false">
      <c r="B60" s="4" t="n">
        <v>4</v>
      </c>
      <c r="C60" s="4" t="n">
        <f aca="false">IF(E59*H59&lt;0,C59,G59)</f>
        <v>-1.5</v>
      </c>
      <c r="D60" s="4" t="n">
        <f aca="false">IF(E59*H59&lt;0,G59,D59)</f>
        <v>-1</v>
      </c>
      <c r="E60" s="4" t="n">
        <f aca="false">C60^2-9</f>
        <v>-6.75</v>
      </c>
      <c r="F60" s="4" t="n">
        <f aca="false">D60^2-9</f>
        <v>-8</v>
      </c>
      <c r="G60" s="4" t="n">
        <f aca="false">(C60+D60)/2</f>
        <v>-1.25</v>
      </c>
      <c r="H60" s="4" t="n">
        <f aca="false">G60^2-9</f>
        <v>-7.4375</v>
      </c>
      <c r="I60" s="4" t="n">
        <f aca="false">ABS((G60-G59)/G60)*100</f>
        <v>20</v>
      </c>
    </row>
    <row r="61" customFormat="false" ht="14.25" hidden="false" customHeight="false" outlineLevel="0" collapsed="false">
      <c r="B61" s="4" t="n">
        <v>5</v>
      </c>
      <c r="C61" s="4" t="n">
        <f aca="false">IF(E60*H60&lt;0,C60,G60)</f>
        <v>-1.25</v>
      </c>
      <c r="D61" s="4" t="n">
        <f aca="false">IF(E60*H60&lt;0,G60,D60)</f>
        <v>-1</v>
      </c>
      <c r="E61" s="4" t="n">
        <f aca="false">C61^2-9</f>
        <v>-7.4375</v>
      </c>
      <c r="F61" s="4" t="n">
        <f aca="false">D61^2-9</f>
        <v>-8</v>
      </c>
      <c r="G61" s="4" t="n">
        <f aca="false">(C61+D61)/2</f>
        <v>-1.125</v>
      </c>
      <c r="H61" s="4" t="n">
        <f aca="false">G61^2-9</f>
        <v>-7.734375</v>
      </c>
      <c r="I61" s="4" t="n">
        <f aca="false">ABS((G61-G60)/G61)*100</f>
        <v>11.1111111111111</v>
      </c>
    </row>
  </sheetData>
  <mergeCells count="6">
    <mergeCell ref="B2:D2"/>
    <mergeCell ref="B4:D4"/>
    <mergeCell ref="B16:C16"/>
    <mergeCell ref="E28:F28"/>
    <mergeCell ref="B40:C40"/>
    <mergeCell ref="B52:C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50" activeCellId="0" sqref="N50"/>
    </sheetView>
  </sheetViews>
  <sheetFormatPr defaultColWidth="8.73046875" defaultRowHeight="14.25" zeroHeight="false" outlineLevelRow="0" outlineLevelCol="0"/>
  <sheetData>
    <row r="2" customFormat="false" ht="14.25" hidden="false" customHeight="false" outlineLevel="0" collapsed="false">
      <c r="B2" s="10" t="s">
        <v>19</v>
      </c>
      <c r="C2" s="10"/>
      <c r="D2" s="10"/>
      <c r="E2" s="10"/>
      <c r="F2" s="10"/>
    </row>
    <row r="4" customFormat="false" ht="14.25" hidden="false" customHeight="false" outlineLevel="0" collapsed="false">
      <c r="B4" s="11" t="s">
        <v>1</v>
      </c>
      <c r="C4" s="11"/>
      <c r="D4" s="11"/>
      <c r="E4" s="2" t="s">
        <v>2</v>
      </c>
    </row>
    <row r="5" customFormat="false" ht="14.25" hidden="false" customHeight="false" outlineLevel="0" collapsed="false">
      <c r="B5" s="12" t="s">
        <v>3</v>
      </c>
      <c r="C5" s="4" t="n">
        <v>1</v>
      </c>
    </row>
    <row r="6" customFormat="false" ht="14.25" hidden="false" customHeight="false" outlineLevel="0" collapsed="false">
      <c r="B6" s="12" t="s">
        <v>4</v>
      </c>
      <c r="C6" s="4" t="n">
        <v>2</v>
      </c>
    </row>
    <row r="8" customFormat="false" ht="14.25" hidden="false" customHeight="false" outlineLevel="0" collapsed="false">
      <c r="B8" s="13" t="s">
        <v>5</v>
      </c>
      <c r="C8" s="13" t="s">
        <v>3</v>
      </c>
      <c r="D8" s="13" t="s">
        <v>4</v>
      </c>
      <c r="E8" s="13" t="s">
        <v>6</v>
      </c>
      <c r="F8" s="13" t="s">
        <v>7</v>
      </c>
      <c r="G8" s="13" t="s">
        <v>8</v>
      </c>
      <c r="H8" s="13" t="s">
        <v>10</v>
      </c>
    </row>
    <row r="9" customFormat="false" ht="14.25" hidden="false" customHeight="false" outlineLevel="0" collapsed="false">
      <c r="B9" s="4" t="n">
        <v>1</v>
      </c>
      <c r="C9" s="4" t="n">
        <f aca="false">C5</f>
        <v>1</v>
      </c>
      <c r="D9" s="4" t="n">
        <f aca="false">C6</f>
        <v>2</v>
      </c>
      <c r="E9" s="4" t="n">
        <f aca="false">C9^3-C9-1</f>
        <v>-1</v>
      </c>
      <c r="F9" s="4" t="n">
        <f aca="false">D9^3-D9-1</f>
        <v>5</v>
      </c>
      <c r="G9" s="4" t="n">
        <f aca="false">D9-(F9*(C9-D9))/(E9-F9)</f>
        <v>1.16666666666667</v>
      </c>
      <c r="H9" s="4"/>
    </row>
    <row r="10" customFormat="false" ht="14.25" hidden="false" customHeight="false" outlineLevel="0" collapsed="false">
      <c r="B10" s="4" t="n">
        <v>2</v>
      </c>
      <c r="C10" s="4" t="n">
        <f aca="false">IF(E9*G9&lt;0,C9,G9)</f>
        <v>1</v>
      </c>
      <c r="D10" s="4" t="n">
        <f aca="false">IF(E9*G9&lt;0,G9,D9)</f>
        <v>1.16666666666667</v>
      </c>
      <c r="E10" s="4" t="n">
        <f aca="false">C10^3-C10-1</f>
        <v>-1</v>
      </c>
      <c r="F10" s="4" t="n">
        <f aca="false">D10^3-D10-1</f>
        <v>-0.578703703703704</v>
      </c>
      <c r="G10" s="4" t="n">
        <f aca="false">D10-(F10*(C10-D10))/(E10-F10)</f>
        <v>1.3956043956044</v>
      </c>
      <c r="H10" s="4" t="n">
        <f aca="false">ABS((G10-G9)/G10)*100</f>
        <v>16.4041994750656</v>
      </c>
    </row>
    <row r="11" customFormat="false" ht="14.25" hidden="false" customHeight="false" outlineLevel="0" collapsed="false">
      <c r="B11" s="4" t="n">
        <v>3</v>
      </c>
      <c r="C11" s="4" t="n">
        <f aca="false">IF(E10*G10&lt;0,C10,G10)</f>
        <v>1</v>
      </c>
      <c r="D11" s="4" t="n">
        <f aca="false">IF(E10*G10&lt;0,G10,D10)</f>
        <v>1.3956043956044</v>
      </c>
      <c r="E11" s="4" t="n">
        <f aca="false">C11^3-C11-1</f>
        <v>-1</v>
      </c>
      <c r="F11" s="4" t="n">
        <f aca="false">D11^3-D11-1</f>
        <v>0.322630515240104</v>
      </c>
      <c r="G11" s="4" t="n">
        <f aca="false">D11-(F11*(C11-D11))/(E11-F11)</f>
        <v>1.29910424041032</v>
      </c>
      <c r="H11" s="4" t="n">
        <f aca="false">ABS((G11-G10)/G11)*100</f>
        <v>7.42820723636472</v>
      </c>
    </row>
    <row r="12" customFormat="false" ht="14.25" hidden="false" customHeight="false" outlineLevel="0" collapsed="false">
      <c r="B12" s="4" t="n">
        <v>4</v>
      </c>
      <c r="C12" s="4" t="n">
        <f aca="false">IF(E11*G11&lt;0,C11,G11)</f>
        <v>1</v>
      </c>
      <c r="D12" s="4" t="n">
        <f aca="false">IF(E11*G11&lt;0,G11,D11)</f>
        <v>1.29910424041032</v>
      </c>
      <c r="E12" s="4" t="n">
        <f aca="false">C12^3-C12-1</f>
        <v>-1</v>
      </c>
      <c r="F12" s="4" t="n">
        <f aca="false">D12^3-D12-1</f>
        <v>-0.106642612946314</v>
      </c>
      <c r="G12" s="4" t="n">
        <f aca="false">D12-(F12*(C12-D12))/(E12-F12)</f>
        <v>1.33480916455705</v>
      </c>
      <c r="H12" s="4" t="n">
        <f aca="false">ABS((G12-G11)/G12)*100</f>
        <v>2.67490852586294</v>
      </c>
    </row>
    <row r="13" customFormat="false" ht="14.25" hidden="false" customHeight="false" outlineLevel="0" collapsed="false">
      <c r="B13" s="4" t="n">
        <v>5</v>
      </c>
      <c r="C13" s="4" t="n">
        <f aca="false">IF(E12*G12&lt;0,C12,G12)</f>
        <v>1</v>
      </c>
      <c r="D13" s="4" t="n">
        <f aca="false">IF(E12*G12&lt;0,G12,D12)</f>
        <v>1.33480916455705</v>
      </c>
      <c r="E13" s="4" t="n">
        <f aca="false">C13^3-C13-1</f>
        <v>-1</v>
      </c>
      <c r="F13" s="4" t="n">
        <f aca="false">D13^3-D13-1</f>
        <v>0.0434410211988305</v>
      </c>
      <c r="G13" s="4" t="n">
        <f aca="false">D13-(F13*(C13-D13))/(E13-F13)</f>
        <v>1.32087023392312</v>
      </c>
      <c r="H13" s="4" t="n">
        <f aca="false">ABS((G13-G12)/G13)*100</f>
        <v>1.05528387845701</v>
      </c>
    </row>
    <row r="16" customFormat="false" ht="14.25" hidden="false" customHeight="false" outlineLevel="0" collapsed="false">
      <c r="B16" s="11" t="s">
        <v>11</v>
      </c>
      <c r="C16" s="11"/>
      <c r="D16" s="11"/>
      <c r="E16" s="2" t="s">
        <v>12</v>
      </c>
    </row>
    <row r="17" customFormat="false" ht="14.25" hidden="false" customHeight="false" outlineLevel="0" collapsed="false">
      <c r="B17" s="12" t="s">
        <v>3</v>
      </c>
      <c r="C17" s="4" t="n">
        <v>-2</v>
      </c>
    </row>
    <row r="18" customFormat="false" ht="14.25" hidden="false" customHeight="false" outlineLevel="0" collapsed="false">
      <c r="B18" s="12" t="s">
        <v>4</v>
      </c>
      <c r="C18" s="4" t="n">
        <v>2</v>
      </c>
    </row>
    <row r="20" customFormat="false" ht="14.25" hidden="false" customHeight="false" outlineLevel="0" collapsed="false">
      <c r="B20" s="13" t="s">
        <v>5</v>
      </c>
      <c r="C20" s="13" t="s">
        <v>3</v>
      </c>
      <c r="D20" s="13" t="s">
        <v>4</v>
      </c>
      <c r="E20" s="13" t="s">
        <v>6</v>
      </c>
      <c r="F20" s="13" t="s">
        <v>7</v>
      </c>
      <c r="G20" s="13" t="s">
        <v>8</v>
      </c>
      <c r="H20" s="13" t="s">
        <v>10</v>
      </c>
    </row>
    <row r="21" customFormat="false" ht="14.25" hidden="false" customHeight="false" outlineLevel="0" collapsed="false">
      <c r="B21" s="4" t="n">
        <v>1</v>
      </c>
      <c r="C21" s="4" t="n">
        <f aca="false">C17</f>
        <v>-2</v>
      </c>
      <c r="D21" s="4" t="n">
        <f aca="false">C18</f>
        <v>2</v>
      </c>
      <c r="E21" s="4" t="n">
        <f aca="false">C21^2+4</f>
        <v>8</v>
      </c>
      <c r="F21" s="4" t="n">
        <f aca="false">D21^2+4</f>
        <v>8</v>
      </c>
      <c r="G21" s="4" t="e">
        <f aca="false">D21-(F21*(C21-D21))/(E21-F21)</f>
        <v>#DIV/0!</v>
      </c>
      <c r="H21" s="4"/>
    </row>
    <row r="22" customFormat="false" ht="14.25" hidden="false" customHeight="false" outlineLevel="0" collapsed="false">
      <c r="B22" s="4" t="n">
        <v>2</v>
      </c>
      <c r="C22" s="4" t="e">
        <f aca="false">IF(E21*G21&lt;0,C21,G21)</f>
        <v>#DIV/0!</v>
      </c>
      <c r="D22" s="4" t="e">
        <f aca="false">IF(E21*G21&lt;0,G21,D21)</f>
        <v>#DIV/0!</v>
      </c>
      <c r="E22" s="4" t="e">
        <f aca="false">C22^2+4</f>
        <v>#DIV/0!</v>
      </c>
      <c r="F22" s="4" t="e">
        <f aca="false">D22^2+4</f>
        <v>#DIV/0!</v>
      </c>
      <c r="G22" s="4" t="e">
        <f aca="false">D22-(F22*(C22-D22))/(E22-F22)</f>
        <v>#DIV/0!</v>
      </c>
      <c r="H22" s="4" t="e">
        <f aca="false">ABS((G22-G21)/G22)*100</f>
        <v>#DIV/0!</v>
      </c>
    </row>
    <row r="23" customFormat="false" ht="14.25" hidden="false" customHeight="false" outlineLevel="0" collapsed="false">
      <c r="B23" s="4" t="n">
        <v>3</v>
      </c>
      <c r="C23" s="4" t="e">
        <f aca="false">IF(E22*G22&lt;0,C22,G22)</f>
        <v>#DIV/0!</v>
      </c>
      <c r="D23" s="4" t="e">
        <f aca="false">IF(E22*G22&lt;0,G22,D22)</f>
        <v>#DIV/0!</v>
      </c>
      <c r="E23" s="4" t="e">
        <f aca="false">C23^2+4</f>
        <v>#DIV/0!</v>
      </c>
      <c r="F23" s="4" t="e">
        <f aca="false">D23^2+4</f>
        <v>#DIV/0!</v>
      </c>
      <c r="G23" s="4" t="e">
        <f aca="false">D23-(F23*(C23-D23))/(E23-F23)</f>
        <v>#DIV/0!</v>
      </c>
      <c r="H23" s="4" t="e">
        <f aca="false">ABS((G23-G22)/G23)*100</f>
        <v>#DIV/0!</v>
      </c>
    </row>
    <row r="24" customFormat="false" ht="14.25" hidden="false" customHeight="false" outlineLevel="0" collapsed="false">
      <c r="B24" s="4" t="n">
        <v>4</v>
      </c>
      <c r="C24" s="4" t="e">
        <f aca="false">IF(E23*G23&lt;0,C23,G23)</f>
        <v>#DIV/0!</v>
      </c>
      <c r="D24" s="4" t="e">
        <f aca="false">IF(E23*G23&lt;0,G23,D23)</f>
        <v>#DIV/0!</v>
      </c>
      <c r="E24" s="4" t="e">
        <f aca="false">C24^2+4</f>
        <v>#DIV/0!</v>
      </c>
      <c r="F24" s="4" t="e">
        <f aca="false">D24^2+4</f>
        <v>#DIV/0!</v>
      </c>
      <c r="G24" s="4" t="e">
        <f aca="false">D24-(F24*(C24-D24))/(E24-F24)</f>
        <v>#DIV/0!</v>
      </c>
      <c r="H24" s="4" t="e">
        <f aca="false">ABS((G24-G23)/G24)*100</f>
        <v>#DIV/0!</v>
      </c>
    </row>
    <row r="25" customFormat="false" ht="14.25" hidden="false" customHeight="false" outlineLevel="0" collapsed="false">
      <c r="B25" s="4" t="n">
        <v>5</v>
      </c>
      <c r="C25" s="4" t="e">
        <f aca="false">IF(E24*G24&lt;0,C24,G24)</f>
        <v>#DIV/0!</v>
      </c>
      <c r="D25" s="4" t="e">
        <f aca="false">IF(E24*G24&lt;0,G24,D24)</f>
        <v>#DIV/0!</v>
      </c>
      <c r="E25" s="4" t="e">
        <f aca="false">C25^2+4</f>
        <v>#DIV/0!</v>
      </c>
      <c r="F25" s="4" t="e">
        <f aca="false">D25^2+4</f>
        <v>#DIV/0!</v>
      </c>
      <c r="G25" s="4" t="e">
        <f aca="false">D25-(F25*(C25-D25))/(E25-F25)</f>
        <v>#DIV/0!</v>
      </c>
      <c r="H25" s="4" t="e">
        <f aca="false">ABS((G25-G24)/G25)*100</f>
        <v>#DIV/0!</v>
      </c>
    </row>
    <row r="28" customFormat="false" ht="14.25" hidden="false" customHeight="false" outlineLevel="0" collapsed="false">
      <c r="B28" s="11" t="s">
        <v>13</v>
      </c>
      <c r="C28" s="11"/>
      <c r="D28" s="11"/>
      <c r="E28" s="2" t="s">
        <v>14</v>
      </c>
    </row>
    <row r="29" customFormat="false" ht="14.25" hidden="false" customHeight="false" outlineLevel="0" collapsed="false">
      <c r="B29" s="12" t="s">
        <v>3</v>
      </c>
      <c r="C29" s="4" t="n">
        <v>-3</v>
      </c>
    </row>
    <row r="30" customFormat="false" ht="14.25" hidden="false" customHeight="false" outlineLevel="0" collapsed="false">
      <c r="B30" s="12" t="s">
        <v>4</v>
      </c>
      <c r="C30" s="4" t="n">
        <v>-1</v>
      </c>
    </row>
    <row r="32" customFormat="false" ht="14.25" hidden="false" customHeight="false" outlineLevel="0" collapsed="false">
      <c r="B32" s="13" t="s">
        <v>5</v>
      </c>
      <c r="C32" s="13" t="s">
        <v>3</v>
      </c>
      <c r="D32" s="13" t="s">
        <v>4</v>
      </c>
      <c r="E32" s="13" t="s">
        <v>6</v>
      </c>
      <c r="F32" s="13" t="s">
        <v>7</v>
      </c>
      <c r="G32" s="13" t="s">
        <v>8</v>
      </c>
      <c r="H32" s="13" t="s">
        <v>10</v>
      </c>
    </row>
    <row r="33" customFormat="false" ht="14.25" hidden="false" customHeight="false" outlineLevel="0" collapsed="false">
      <c r="B33" s="4" t="n">
        <v>1</v>
      </c>
      <c r="C33" s="4" t="n">
        <f aca="false">C29</f>
        <v>-3</v>
      </c>
      <c r="D33" s="4" t="n">
        <f aca="false">C30</f>
        <v>-1</v>
      </c>
      <c r="E33" s="4" t="n">
        <f aca="false">C33^3-2*C33+2</f>
        <v>-19</v>
      </c>
      <c r="F33" s="4" t="n">
        <f aca="false">D33^3-2*D33+2</f>
        <v>3</v>
      </c>
      <c r="G33" s="4" t="n">
        <f aca="false">D33-(F33*(C33-D33))/(E33-F33)</f>
        <v>-1.27272727272727</v>
      </c>
      <c r="H33" s="4"/>
    </row>
    <row r="34" customFormat="false" ht="14.25" hidden="false" customHeight="false" outlineLevel="0" collapsed="false">
      <c r="B34" s="4" t="n">
        <v>2</v>
      </c>
      <c r="C34" s="4" t="n">
        <f aca="false">IF(E33*G33&lt;0,C33,G33)</f>
        <v>-1.27272727272727</v>
      </c>
      <c r="D34" s="4" t="n">
        <f aca="false">IF(E33*G33&lt;0,G33,D33)</f>
        <v>-1</v>
      </c>
      <c r="E34" s="4" t="n">
        <f aca="false">C34^3-2*C34+2</f>
        <v>2.48384673178062</v>
      </c>
      <c r="F34" s="4" t="n">
        <f aca="false">D34^3-2*D34+2</f>
        <v>3</v>
      </c>
      <c r="G34" s="4" t="n">
        <f aca="false">D34-(F34*(C34-D34))/(E34-F34)</f>
        <v>-2.58515283842795</v>
      </c>
      <c r="H34" s="4" t="n">
        <f aca="false">ABS((G34-G33)/G34)*100</f>
        <v>50.7678132678133</v>
      </c>
    </row>
    <row r="35" customFormat="false" ht="14.25" hidden="false" customHeight="false" outlineLevel="0" collapsed="false">
      <c r="B35" s="4" t="n">
        <v>3</v>
      </c>
      <c r="C35" s="4" t="n">
        <f aca="false">IF(E34*G34&lt;0,C34,G34)</f>
        <v>-1.27272727272727</v>
      </c>
      <c r="D35" s="4" t="n">
        <f aca="false">IF(E34*G34&lt;0,G34,D34)</f>
        <v>-2.58515283842795</v>
      </c>
      <c r="E35" s="4" t="n">
        <f aca="false">C35^3-2*C35+2</f>
        <v>2.48384673178062</v>
      </c>
      <c r="F35" s="4" t="n">
        <f aca="false">D35^3-2*D35+2</f>
        <v>-10.1063100315938</v>
      </c>
      <c r="G35" s="4" t="n">
        <f aca="false">D35-(F35*(C35-D35))/(E35-F35)</f>
        <v>-1.53164890597922</v>
      </c>
      <c r="H35" s="4" t="n">
        <f aca="false">ABS((G35-G34)/G35)*100</f>
        <v>68.7823383241475</v>
      </c>
    </row>
    <row r="36" customFormat="false" ht="14.25" hidden="false" customHeight="false" outlineLevel="0" collapsed="false">
      <c r="B36" s="4" t="n">
        <v>4</v>
      </c>
      <c r="C36" s="4" t="n">
        <f aca="false">IF(E35*G35&lt;0,C35,G35)</f>
        <v>-1.27272727272727</v>
      </c>
      <c r="D36" s="4" t="n">
        <f aca="false">IF(E35*G35&lt;0,G35,D35)</f>
        <v>-1.53164890597922</v>
      </c>
      <c r="E36" s="4" t="n">
        <f aca="false">C36^3-2*C36+2</f>
        <v>2.48384673178062</v>
      </c>
      <c r="F36" s="4" t="n">
        <f aca="false">D36^3-2*D36+2</f>
        <v>1.47012855574562</v>
      </c>
      <c r="G36" s="4" t="n">
        <f aca="false">D36-(F36*(C36-D36))/(E36-F36)</f>
        <v>-1.90714585941536</v>
      </c>
      <c r="H36" s="4" t="n">
        <f aca="false">ABS((G36-G35)/G36)*100</f>
        <v>19.6889478370181</v>
      </c>
    </row>
    <row r="37" customFormat="false" ht="14.25" hidden="false" customHeight="false" outlineLevel="0" collapsed="false">
      <c r="B37" s="4" t="n">
        <v>5</v>
      </c>
      <c r="C37" s="4" t="n">
        <f aca="false">IF(E36*G36&lt;0,C36,G36)</f>
        <v>-1.27272727272727</v>
      </c>
      <c r="D37" s="4" t="n">
        <f aca="false">IF(E36*G36&lt;0,G36,D36)</f>
        <v>-1.90714585941536</v>
      </c>
      <c r="E37" s="4" t="n">
        <f aca="false">C37^3-2*C37+2</f>
        <v>2.48384673178062</v>
      </c>
      <c r="F37" s="4" t="n">
        <f aca="false">D37^3-2*D37+2</f>
        <v>-1.12238936437749</v>
      </c>
      <c r="G37" s="4" t="n">
        <f aca="false">D37-(F37*(C37-D37))/(E37-F37)</f>
        <v>-1.7096921555326</v>
      </c>
      <c r="H37" s="4" t="n">
        <f aca="false">ABS((G37-G36)/G37)*100</f>
        <v>11.5490793616729</v>
      </c>
    </row>
    <row r="40" customFormat="false" ht="14.25" hidden="false" customHeight="false" outlineLevel="0" collapsed="false">
      <c r="B40" s="11" t="s">
        <v>20</v>
      </c>
      <c r="C40" s="11"/>
      <c r="E40" s="2" t="s">
        <v>21</v>
      </c>
    </row>
    <row r="41" customFormat="false" ht="14.25" hidden="false" customHeight="false" outlineLevel="0" collapsed="false">
      <c r="B41" s="12" t="s">
        <v>3</v>
      </c>
      <c r="C41" s="4" t="n">
        <v>0</v>
      </c>
    </row>
    <row r="42" customFormat="false" ht="14.25" hidden="false" customHeight="false" outlineLevel="0" collapsed="false">
      <c r="B42" s="12" t="s">
        <v>4</v>
      </c>
      <c r="C42" s="4" t="n">
        <v>5</v>
      </c>
    </row>
    <row r="44" customFormat="false" ht="14.25" hidden="false" customHeight="false" outlineLevel="0" collapsed="false">
      <c r="B44" s="13" t="s">
        <v>5</v>
      </c>
      <c r="C44" s="13" t="s">
        <v>3</v>
      </c>
      <c r="D44" s="13" t="s">
        <v>4</v>
      </c>
      <c r="E44" s="13" t="s">
        <v>6</v>
      </c>
      <c r="F44" s="13" t="s">
        <v>7</v>
      </c>
      <c r="G44" s="13" t="s">
        <v>8</v>
      </c>
      <c r="H44" s="13" t="s">
        <v>10</v>
      </c>
    </row>
    <row r="45" customFormat="false" ht="14.25" hidden="false" customHeight="false" outlineLevel="0" collapsed="false">
      <c r="B45" s="4" t="n">
        <v>1</v>
      </c>
      <c r="C45" s="4" t="n">
        <f aca="false">C41</f>
        <v>0</v>
      </c>
      <c r="D45" s="4" t="n">
        <f aca="false">C42</f>
        <v>5</v>
      </c>
      <c r="E45" s="4" t="n">
        <f aca="false">3*C45-6</f>
        <v>-6</v>
      </c>
      <c r="F45" s="4" t="n">
        <f aca="false">3*D45-6</f>
        <v>9</v>
      </c>
      <c r="G45" s="4" t="n">
        <f aca="false">D45-(F45*(C45-D45))/(E45-F45)</f>
        <v>2</v>
      </c>
      <c r="H45" s="4"/>
    </row>
    <row r="46" customFormat="false" ht="14.25" hidden="false" customHeight="false" outlineLevel="0" collapsed="false">
      <c r="B46" s="4" t="n">
        <v>2</v>
      </c>
      <c r="C46" s="4" t="n">
        <f aca="false">IF(E45*G45&lt;0,C45,G45)</f>
        <v>0</v>
      </c>
      <c r="D46" s="4" t="n">
        <f aca="false">IF(E45*G45&lt;0,G45,D45)</f>
        <v>2</v>
      </c>
      <c r="E46" s="4" t="n">
        <f aca="false">3*C46-6</f>
        <v>-6</v>
      </c>
      <c r="F46" s="4" t="n">
        <f aca="false">3*D46-6</f>
        <v>0</v>
      </c>
      <c r="G46" s="4" t="n">
        <f aca="false">D46-(F46*(C46-D46))/(E46-F46)</f>
        <v>2</v>
      </c>
      <c r="H46" s="4" t="n">
        <f aca="false">ABS((G46-G45)/G46)*100</f>
        <v>0</v>
      </c>
    </row>
    <row r="47" customFormat="false" ht="14.25" hidden="false" customHeight="false" outlineLevel="0" collapsed="false">
      <c r="B47" s="4" t="n">
        <v>3</v>
      </c>
      <c r="C47" s="4" t="n">
        <f aca="false">IF(E46*G46&lt;0,C46,G46)</f>
        <v>0</v>
      </c>
      <c r="D47" s="4" t="n">
        <f aca="false">IF(E46*G46&lt;0,G46,D46)</f>
        <v>2</v>
      </c>
      <c r="E47" s="4" t="n">
        <f aca="false">3*C47-6</f>
        <v>-6</v>
      </c>
      <c r="F47" s="4" t="n">
        <f aca="false">3*D47-6</f>
        <v>0</v>
      </c>
      <c r="G47" s="4" t="n">
        <f aca="false">D47-(F47*(C47-D47))/(E47-F47)</f>
        <v>2</v>
      </c>
      <c r="H47" s="4" t="n">
        <f aca="false">ABS((G47-G46)/G47)*100</f>
        <v>0</v>
      </c>
    </row>
    <row r="48" customFormat="false" ht="14.25" hidden="false" customHeight="false" outlineLevel="0" collapsed="false">
      <c r="B48" s="4" t="n">
        <v>4</v>
      </c>
      <c r="C48" s="4" t="n">
        <f aca="false">IF(E47*G47&lt;0,C47,G47)</f>
        <v>0</v>
      </c>
      <c r="D48" s="4" t="n">
        <f aca="false">IF(E47*G47&lt;0,G47,D47)</f>
        <v>2</v>
      </c>
      <c r="E48" s="4" t="n">
        <f aca="false">3*C48-6</f>
        <v>-6</v>
      </c>
      <c r="F48" s="4" t="n">
        <f aca="false">3*D48-6</f>
        <v>0</v>
      </c>
      <c r="G48" s="4" t="n">
        <f aca="false">D48-(F48*(C48-D48))/(E48-F48)</f>
        <v>2</v>
      </c>
      <c r="H48" s="4" t="n">
        <f aca="false">ABS((G48-G47)/G48)*100</f>
        <v>0</v>
      </c>
    </row>
    <row r="49" customFormat="false" ht="14.25" hidden="false" customHeight="false" outlineLevel="0" collapsed="false">
      <c r="B49" s="4" t="n">
        <v>5</v>
      </c>
      <c r="C49" s="4" t="n">
        <f aca="false">IF(E48*G48&lt;0,C48,G48)</f>
        <v>0</v>
      </c>
      <c r="D49" s="4" t="n">
        <f aca="false">IF(E48*G48&lt;0,G48,D48)</f>
        <v>2</v>
      </c>
      <c r="E49" s="4" t="n">
        <f aca="false">3*C49-6</f>
        <v>-6</v>
      </c>
      <c r="F49" s="4" t="n">
        <f aca="false">3*D49-6</f>
        <v>0</v>
      </c>
      <c r="G49" s="4" t="n">
        <f aca="false">D49-(F49*(C49-D49))/(E49-F49)</f>
        <v>2</v>
      </c>
      <c r="H49" s="4" t="n">
        <f aca="false">ABS((G49-G48)/G49)*100</f>
        <v>0</v>
      </c>
    </row>
    <row r="52" customFormat="false" ht="14.25" hidden="false" customHeight="false" outlineLevel="0" collapsed="false">
      <c r="B52" s="11" t="s">
        <v>17</v>
      </c>
      <c r="C52" s="11"/>
      <c r="E52" s="2" t="s">
        <v>18</v>
      </c>
    </row>
    <row r="53" customFormat="false" ht="14.25" hidden="false" customHeight="false" outlineLevel="0" collapsed="false">
      <c r="B53" s="12" t="s">
        <v>3</v>
      </c>
      <c r="C53" s="4" t="n">
        <v>-5</v>
      </c>
    </row>
    <row r="54" customFormat="false" ht="14.25" hidden="false" customHeight="false" outlineLevel="0" collapsed="false">
      <c r="B54" s="12" t="s">
        <v>4</v>
      </c>
      <c r="C54" s="4" t="n">
        <v>-1</v>
      </c>
    </row>
    <row r="56" customFormat="false" ht="14.25" hidden="false" customHeight="false" outlineLevel="0" collapsed="false">
      <c r="B56" s="13" t="s">
        <v>5</v>
      </c>
      <c r="C56" s="13" t="s">
        <v>3</v>
      </c>
      <c r="D56" s="13" t="s">
        <v>4</v>
      </c>
      <c r="E56" s="13" t="s">
        <v>6</v>
      </c>
      <c r="F56" s="13" t="s">
        <v>7</v>
      </c>
      <c r="G56" s="13" t="s">
        <v>8</v>
      </c>
      <c r="H56" s="13" t="s">
        <v>10</v>
      </c>
    </row>
    <row r="57" customFormat="false" ht="14.25" hidden="false" customHeight="false" outlineLevel="0" collapsed="false">
      <c r="B57" s="4" t="n">
        <v>1</v>
      </c>
      <c r="C57" s="4" t="n">
        <f aca="false">C53</f>
        <v>-5</v>
      </c>
      <c r="D57" s="4" t="n">
        <f aca="false">C54</f>
        <v>-1</v>
      </c>
      <c r="E57" s="4" t="n">
        <f aca="false">C57^2-9</f>
        <v>16</v>
      </c>
      <c r="F57" s="4" t="n">
        <f aca="false">D57^2-9</f>
        <v>-8</v>
      </c>
      <c r="G57" s="4" t="n">
        <f aca="false">D57-(F57*(C57-D57))/(E57-F57)</f>
        <v>-2.33333333333333</v>
      </c>
      <c r="H57" s="4"/>
    </row>
    <row r="58" customFormat="false" ht="14.25" hidden="false" customHeight="false" outlineLevel="0" collapsed="false">
      <c r="B58" s="4" t="n">
        <v>2</v>
      </c>
      <c r="C58" s="4" t="n">
        <f aca="false">IF(E57*G57&lt;0,C57,G57)</f>
        <v>-5</v>
      </c>
      <c r="D58" s="4" t="n">
        <f aca="false">IF(E57*G57&lt;0,G57,D57)</f>
        <v>-2.33333333333333</v>
      </c>
      <c r="E58" s="4" t="n">
        <f aca="false">C58^2-9</f>
        <v>16</v>
      </c>
      <c r="F58" s="4" t="n">
        <f aca="false">D58^2-9</f>
        <v>-3.55555555555556</v>
      </c>
      <c r="G58" s="4" t="n">
        <f aca="false">D58-(F58*(C58-D58))/(E58-F58)</f>
        <v>-2.81818181818182</v>
      </c>
      <c r="H58" s="4" t="n">
        <f aca="false">ABS((G58-G57)/G58)*100</f>
        <v>17.2043010752688</v>
      </c>
    </row>
    <row r="59" customFormat="false" ht="14.25" hidden="false" customHeight="false" outlineLevel="0" collapsed="false">
      <c r="B59" s="4" t="n">
        <v>3</v>
      </c>
      <c r="C59" s="4" t="n">
        <f aca="false">IF(E58*G58&lt;0,C58,G58)</f>
        <v>-5</v>
      </c>
      <c r="D59" s="4" t="n">
        <f aca="false">IF(E58*G58&lt;0,G58,D58)</f>
        <v>-2.81818181818182</v>
      </c>
      <c r="E59" s="4" t="n">
        <f aca="false">C59^2-9</f>
        <v>16</v>
      </c>
      <c r="F59" s="4" t="n">
        <f aca="false">D59^2-9</f>
        <v>-1.05785123966942</v>
      </c>
      <c r="G59" s="4" t="n">
        <f aca="false">D59-(F59*(C59-D59))/(E59-F59)</f>
        <v>-2.95348837209302</v>
      </c>
      <c r="H59" s="4" t="n">
        <f aca="false">ABS((G59-G58)/G59)*100</f>
        <v>4.58124552612742</v>
      </c>
    </row>
    <row r="60" customFormat="false" ht="14.25" hidden="false" customHeight="false" outlineLevel="0" collapsed="false">
      <c r="B60" s="4" t="n">
        <v>4</v>
      </c>
      <c r="C60" s="4" t="n">
        <f aca="false">IF(E59*G59&lt;0,C59,G59)</f>
        <v>-5</v>
      </c>
      <c r="D60" s="4" t="n">
        <f aca="false">IF(E59*G59&lt;0,G59,D59)</f>
        <v>-2.95348837209302</v>
      </c>
      <c r="E60" s="4" t="n">
        <f aca="false">C60^2-9</f>
        <v>16</v>
      </c>
      <c r="F60" s="4" t="n">
        <f aca="false">D60^2-9</f>
        <v>-0.276906435911304</v>
      </c>
      <c r="G60" s="4" t="n">
        <f aca="false">D60-(F60*(C60-D60))/(E60-F60)</f>
        <v>-2.98830409356725</v>
      </c>
      <c r="H60" s="4" t="n">
        <f aca="false">ABS((G60-G59)/G60)*100</f>
        <v>1.16506621763074</v>
      </c>
    </row>
    <row r="61" customFormat="false" ht="14.25" hidden="false" customHeight="false" outlineLevel="0" collapsed="false">
      <c r="B61" s="4" t="n">
        <v>5</v>
      </c>
      <c r="C61" s="4" t="n">
        <f aca="false">IF(E60*G60&lt;0,C60,G60)</f>
        <v>-5</v>
      </c>
      <c r="D61" s="4" t="n">
        <f aca="false">IF(E60*G60&lt;0,G60,D60)</f>
        <v>-2.98830409356725</v>
      </c>
      <c r="E61" s="4" t="n">
        <f aca="false">C61^2-9</f>
        <v>16</v>
      </c>
      <c r="F61" s="4" t="n">
        <f aca="false">D61^2-9</f>
        <v>-0.0700386443692072</v>
      </c>
      <c r="G61" s="4" t="n">
        <f aca="false">D61-(F61*(C61-D61))/(E61-F61)</f>
        <v>-2.99707174231332</v>
      </c>
      <c r="H61" s="4" t="n">
        <f aca="false">ABS((G61-G60)/G61)*100</f>
        <v>0.292540502861128</v>
      </c>
    </row>
  </sheetData>
  <mergeCells count="6">
    <mergeCell ref="B2:F2"/>
    <mergeCell ref="B4:D4"/>
    <mergeCell ref="B16:D16"/>
    <mergeCell ref="B28:D28"/>
    <mergeCell ref="B40:C40"/>
    <mergeCell ref="B52:C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42" activeCellId="0" sqref="M42"/>
    </sheetView>
  </sheetViews>
  <sheetFormatPr defaultColWidth="8.73046875" defaultRowHeight="14.25" zeroHeight="false" outlineLevelRow="0" outlineLevelCol="0"/>
  <sheetData>
    <row r="2" customFormat="false" ht="14.25" hidden="false" customHeight="false" outlineLevel="0" collapsed="false">
      <c r="B2" s="14" t="s">
        <v>22</v>
      </c>
      <c r="C2" s="14"/>
      <c r="D2" s="14"/>
    </row>
    <row r="4" customFormat="false" ht="14.25" hidden="false" customHeight="false" outlineLevel="0" collapsed="false">
      <c r="B4" s="14" t="s">
        <v>1</v>
      </c>
      <c r="C4" s="14"/>
      <c r="D4" s="14"/>
      <c r="E4" s="2" t="s">
        <v>23</v>
      </c>
    </row>
    <row r="5" customFormat="false" ht="14.25" hidden="false" customHeight="false" outlineLevel="0" collapsed="false">
      <c r="B5" s="15" t="s">
        <v>24</v>
      </c>
      <c r="C5" s="4" t="n">
        <v>2</v>
      </c>
    </row>
    <row r="7" customFormat="false" ht="14.25" hidden="false" customHeight="false" outlineLevel="0" collapsed="false">
      <c r="B7" s="16" t="s">
        <v>5</v>
      </c>
      <c r="C7" s="16" t="s">
        <v>25</v>
      </c>
      <c r="D7" s="16" t="s">
        <v>26</v>
      </c>
      <c r="E7" s="16" t="s">
        <v>27</v>
      </c>
      <c r="F7" s="16" t="s">
        <v>28</v>
      </c>
      <c r="G7" s="16" t="s">
        <v>10</v>
      </c>
    </row>
    <row r="8" customFormat="false" ht="14.25" hidden="false" customHeight="false" outlineLevel="0" collapsed="false">
      <c r="B8" s="4" t="n">
        <v>1</v>
      </c>
      <c r="C8" s="4" t="n">
        <f aca="false">C6</f>
        <v>0</v>
      </c>
      <c r="D8" s="4" t="n">
        <f aca="false">C8^3-C8-1</f>
        <v>-1</v>
      </c>
      <c r="E8" s="4" t="n">
        <f aca="false">(3*(C8^2))-1</f>
        <v>-1</v>
      </c>
      <c r="F8" s="4" t="n">
        <f aca="false">C8-(D8/E8)</f>
        <v>-1</v>
      </c>
      <c r="G8" s="4"/>
    </row>
    <row r="9" customFormat="false" ht="14.25" hidden="false" customHeight="false" outlineLevel="0" collapsed="false">
      <c r="B9" s="4" t="n">
        <v>2</v>
      </c>
      <c r="C9" s="4" t="n">
        <f aca="false">F8</f>
        <v>-1</v>
      </c>
      <c r="D9" s="4" t="n">
        <f aca="false">C9^3-C9-1</f>
        <v>-1</v>
      </c>
      <c r="E9" s="4" t="n">
        <f aca="false">(3*(C9^2))-1</f>
        <v>2</v>
      </c>
      <c r="F9" s="4" t="n">
        <f aca="false">C9-(D9/E9)</f>
        <v>-0.5</v>
      </c>
      <c r="G9" s="4" t="n">
        <f aca="false">ABS((F9-C9)/F9)*100</f>
        <v>100</v>
      </c>
    </row>
    <row r="10" customFormat="false" ht="14.25" hidden="false" customHeight="false" outlineLevel="0" collapsed="false">
      <c r="B10" s="4" t="n">
        <v>3</v>
      </c>
      <c r="C10" s="4" t="n">
        <f aca="false">F9</f>
        <v>-0.5</v>
      </c>
      <c r="D10" s="4" t="n">
        <f aca="false">C10^3-C10-1</f>
        <v>-0.625</v>
      </c>
      <c r="E10" s="4" t="n">
        <f aca="false">(3*(C10^2))-1</f>
        <v>-0.25</v>
      </c>
      <c r="F10" s="4" t="n">
        <f aca="false">C10-(D10/E10)</f>
        <v>-3</v>
      </c>
      <c r="G10" s="4" t="n">
        <f aca="false">ABS((F10-C10)/F10)*100</f>
        <v>83.3333333333333</v>
      </c>
    </row>
    <row r="11" customFormat="false" ht="14.25" hidden="false" customHeight="false" outlineLevel="0" collapsed="false">
      <c r="B11" s="4" t="n">
        <v>4</v>
      </c>
      <c r="C11" s="4" t="n">
        <f aca="false">F10</f>
        <v>-3</v>
      </c>
      <c r="D11" s="4" t="n">
        <f aca="false">C11^3-C11-1</f>
        <v>-25</v>
      </c>
      <c r="E11" s="4" t="n">
        <f aca="false">(3*(C11^2))-1</f>
        <v>26</v>
      </c>
      <c r="F11" s="4" t="n">
        <f aca="false">C11-(D11/E11)</f>
        <v>-2.03846153846154</v>
      </c>
      <c r="G11" s="4" t="n">
        <f aca="false">ABS((F11-C11)/F11)*100</f>
        <v>47.1698113207547</v>
      </c>
    </row>
    <row r="12" customFormat="false" ht="14.25" hidden="false" customHeight="false" outlineLevel="0" collapsed="false">
      <c r="B12" s="4" t="n">
        <v>5</v>
      </c>
      <c r="C12" s="4" t="n">
        <f aca="false">F11</f>
        <v>-2.03846153846154</v>
      </c>
      <c r="D12" s="4" t="n">
        <f aca="false">C12^3-C12-1</f>
        <v>-7.43200955848885</v>
      </c>
      <c r="E12" s="4" t="n">
        <f aca="false">(3*(C12^2))-1</f>
        <v>11.4659763313609</v>
      </c>
      <c r="F12" s="4" t="n">
        <f aca="false">C12-(D12/E12)</f>
        <v>-1.39028214721674</v>
      </c>
      <c r="G12" s="4" t="n">
        <f aca="false">ABS((F12-C12)/F12)*100</f>
        <v>46.6221473491852</v>
      </c>
    </row>
    <row r="15" customFormat="false" ht="14.25" hidden="false" customHeight="false" outlineLevel="0" collapsed="false">
      <c r="B15" s="14" t="s">
        <v>29</v>
      </c>
      <c r="C15" s="14"/>
      <c r="D15" s="14"/>
      <c r="E15" s="2" t="s">
        <v>30</v>
      </c>
    </row>
    <row r="16" customFormat="false" ht="14.25" hidden="false" customHeight="false" outlineLevel="0" collapsed="false">
      <c r="B16" s="15" t="s">
        <v>24</v>
      </c>
      <c r="C16" s="4" t="n">
        <v>0</v>
      </c>
    </row>
    <row r="18" customFormat="false" ht="14.25" hidden="false" customHeight="false" outlineLevel="0" collapsed="false">
      <c r="B18" s="16" t="s">
        <v>5</v>
      </c>
      <c r="C18" s="16" t="s">
        <v>25</v>
      </c>
      <c r="D18" s="16" t="s">
        <v>26</v>
      </c>
      <c r="E18" s="16" t="s">
        <v>27</v>
      </c>
      <c r="F18" s="16" t="s">
        <v>28</v>
      </c>
      <c r="G18" s="16" t="s">
        <v>10</v>
      </c>
    </row>
    <row r="19" customFormat="false" ht="14.25" hidden="false" customHeight="false" outlineLevel="0" collapsed="false">
      <c r="B19" s="4" t="n">
        <v>1</v>
      </c>
      <c r="C19" s="4" t="n">
        <f aca="false">C17</f>
        <v>0</v>
      </c>
      <c r="D19" s="4" t="n">
        <f aca="false">C19^3-2*C19+2</f>
        <v>2</v>
      </c>
      <c r="E19" s="4" t="n">
        <f aca="false">(3*(C19^2))-2</f>
        <v>-2</v>
      </c>
      <c r="F19" s="4" t="n">
        <f aca="false">C19-(D19/E19)</f>
        <v>1</v>
      </c>
      <c r="G19" s="4"/>
    </row>
    <row r="20" customFormat="false" ht="14.25" hidden="false" customHeight="false" outlineLevel="0" collapsed="false">
      <c r="B20" s="4" t="n">
        <v>2</v>
      </c>
      <c r="C20" s="4" t="n">
        <f aca="false">F19</f>
        <v>1</v>
      </c>
      <c r="D20" s="4" t="n">
        <f aca="false">C20^3-2*C20+2</f>
        <v>1</v>
      </c>
      <c r="E20" s="4" t="n">
        <f aca="false">(3*(C20^2))-2</f>
        <v>1</v>
      </c>
      <c r="F20" s="4" t="n">
        <f aca="false">C20-(D20/E20)</f>
        <v>0</v>
      </c>
      <c r="G20" s="4" t="e">
        <f aca="false">ABS((F20-C20)/F20)*100</f>
        <v>#DIV/0!</v>
      </c>
    </row>
    <row r="21" customFormat="false" ht="14.25" hidden="false" customHeight="false" outlineLevel="0" collapsed="false">
      <c r="B21" s="4" t="n">
        <v>3</v>
      </c>
      <c r="C21" s="4" t="n">
        <f aca="false">F20</f>
        <v>0</v>
      </c>
      <c r="D21" s="4" t="n">
        <f aca="false">C21^3-2*C21+2</f>
        <v>2</v>
      </c>
      <c r="E21" s="4" t="n">
        <f aca="false">(3*(C21^2))-2</f>
        <v>-2</v>
      </c>
      <c r="F21" s="4" t="n">
        <f aca="false">C21-(D21/E21)</f>
        <v>1</v>
      </c>
      <c r="G21" s="4" t="n">
        <f aca="false">ABS((F21-C21)/F21)*100</f>
        <v>100</v>
      </c>
    </row>
    <row r="22" customFormat="false" ht="14.25" hidden="false" customHeight="false" outlineLevel="0" collapsed="false">
      <c r="B22" s="4" t="n">
        <v>4</v>
      </c>
      <c r="C22" s="4" t="n">
        <f aca="false">F21</f>
        <v>1</v>
      </c>
      <c r="D22" s="4" t="n">
        <f aca="false">C22^3-2*C22+2</f>
        <v>1</v>
      </c>
      <c r="E22" s="4" t="n">
        <f aca="false">(3*(C22^2))-2</f>
        <v>1</v>
      </c>
      <c r="F22" s="4" t="n">
        <f aca="false">C22-(D22/E22)</f>
        <v>0</v>
      </c>
      <c r="G22" s="4" t="e">
        <f aca="false">ABS((F22-C22)/F22)*100</f>
        <v>#DIV/0!</v>
      </c>
    </row>
    <row r="23" customFormat="false" ht="14.25" hidden="false" customHeight="false" outlineLevel="0" collapsed="false">
      <c r="B23" s="4" t="n">
        <v>5</v>
      </c>
      <c r="C23" s="4" t="n">
        <f aca="false">F22</f>
        <v>0</v>
      </c>
      <c r="D23" s="4" t="n">
        <f aca="false">C23^3-2*C23+2</f>
        <v>2</v>
      </c>
      <c r="E23" s="4" t="n">
        <f aca="false">(3*(C23^2))-2</f>
        <v>-2</v>
      </c>
      <c r="F23" s="4" t="n">
        <f aca="false">C23-(D23/E23)</f>
        <v>1</v>
      </c>
      <c r="G23" s="4" t="n">
        <f aca="false">ABS((F23-C23)/F23)*100</f>
        <v>100</v>
      </c>
    </row>
    <row r="26" customFormat="false" ht="14.25" hidden="false" customHeight="false" outlineLevel="0" collapsed="false">
      <c r="B26" s="14" t="s">
        <v>31</v>
      </c>
      <c r="C26" s="14"/>
      <c r="D26" s="14"/>
      <c r="E26" s="2" t="s">
        <v>32</v>
      </c>
    </row>
    <row r="27" customFormat="false" ht="14.25" hidden="false" customHeight="false" outlineLevel="0" collapsed="false">
      <c r="B27" s="15" t="s">
        <v>24</v>
      </c>
      <c r="C27" s="4" t="n">
        <v>1</v>
      </c>
    </row>
    <row r="29" customFormat="false" ht="14.25" hidden="false" customHeight="false" outlineLevel="0" collapsed="false">
      <c r="B29" s="16" t="s">
        <v>5</v>
      </c>
      <c r="C29" s="16" t="s">
        <v>25</v>
      </c>
      <c r="D29" s="16" t="s">
        <v>26</v>
      </c>
      <c r="E29" s="16" t="s">
        <v>27</v>
      </c>
      <c r="F29" s="16" t="s">
        <v>28</v>
      </c>
      <c r="G29" s="16" t="s">
        <v>10</v>
      </c>
    </row>
    <row r="30" customFormat="false" ht="14.25" hidden="false" customHeight="false" outlineLevel="0" collapsed="false">
      <c r="B30" s="4" t="n">
        <v>1</v>
      </c>
      <c r="C30" s="4" t="n">
        <f aca="false">C27</f>
        <v>1</v>
      </c>
      <c r="D30" s="4" t="n">
        <f aca="false">C30^2+4</f>
        <v>5</v>
      </c>
      <c r="E30" s="4" t="n">
        <f aca="false">2*C30</f>
        <v>2</v>
      </c>
      <c r="F30" s="4" t="n">
        <f aca="false">C30-(D30/E30)</f>
        <v>-1.5</v>
      </c>
      <c r="G30" s="4"/>
    </row>
    <row r="31" customFormat="false" ht="14.25" hidden="false" customHeight="false" outlineLevel="0" collapsed="false">
      <c r="B31" s="4" t="n">
        <v>2</v>
      </c>
      <c r="C31" s="4" t="n">
        <f aca="false">F30</f>
        <v>-1.5</v>
      </c>
      <c r="D31" s="4" t="n">
        <f aca="false">C31^2+4</f>
        <v>6.25</v>
      </c>
      <c r="E31" s="4" t="n">
        <f aca="false">2*C31</f>
        <v>-3</v>
      </c>
      <c r="F31" s="4" t="n">
        <f aca="false">C31-(D31/E31)</f>
        <v>0.583333333333334</v>
      </c>
      <c r="G31" s="4" t="n">
        <f aca="false">ABS((F31-C31)/F31)*100</f>
        <v>357.142857142857</v>
      </c>
    </row>
    <row r="32" customFormat="false" ht="14.25" hidden="false" customHeight="false" outlineLevel="0" collapsed="false">
      <c r="B32" s="4" t="n">
        <v>3</v>
      </c>
      <c r="C32" s="4" t="n">
        <f aca="false">F31</f>
        <v>0.583333333333334</v>
      </c>
      <c r="D32" s="4" t="n">
        <f aca="false">C32^2+4</f>
        <v>4.34027777777778</v>
      </c>
      <c r="E32" s="4" t="n">
        <f aca="false">2*C32</f>
        <v>1.16666666666667</v>
      </c>
      <c r="F32" s="4" t="n">
        <f aca="false">C32-(D32/E32)</f>
        <v>-3.13690476190476</v>
      </c>
      <c r="G32" s="4" t="n">
        <f aca="false">ABS((F32-C32)/F32)*100</f>
        <v>118.595825426945</v>
      </c>
    </row>
    <row r="33" customFormat="false" ht="14.25" hidden="false" customHeight="false" outlineLevel="0" collapsed="false">
      <c r="B33" s="4" t="n">
        <v>4</v>
      </c>
      <c r="C33" s="4" t="n">
        <f aca="false">F32</f>
        <v>-3.13690476190476</v>
      </c>
      <c r="D33" s="4" t="n">
        <f aca="false">C33^2+4</f>
        <v>13.8401714852608</v>
      </c>
      <c r="E33" s="4" t="n">
        <f aca="false">2*C33</f>
        <v>-6.27380952380952</v>
      </c>
      <c r="F33" s="4" t="n">
        <f aca="false">C33-(D33/E33)</f>
        <v>-0.930881223457124</v>
      </c>
      <c r="G33" s="4" t="n">
        <f aca="false">ABS((F33-C33)/F33)*100</f>
        <v>236.982279033932</v>
      </c>
    </row>
    <row r="34" customFormat="false" ht="14.25" hidden="false" customHeight="false" outlineLevel="0" collapsed="false">
      <c r="B34" s="4" t="n">
        <v>5</v>
      </c>
      <c r="C34" s="4" t="n">
        <f aca="false">F33</f>
        <v>-0.930881223457124</v>
      </c>
      <c r="D34" s="4" t="n">
        <f aca="false">C34^2+4</f>
        <v>4.86653985218503</v>
      </c>
      <c r="E34" s="4" t="n">
        <f aca="false">2*C34</f>
        <v>-1.86176244691425</v>
      </c>
      <c r="F34" s="4" t="n">
        <f aca="false">C34-(D34/E34)</f>
        <v>1.68306120526197</v>
      </c>
      <c r="G34" s="4" t="n">
        <f aca="false">ABS((F34-C34)/F34)*100</f>
        <v>155.308815897294</v>
      </c>
    </row>
    <row r="37" customFormat="false" ht="14.25" hidden="false" customHeight="false" outlineLevel="0" collapsed="false">
      <c r="B37" s="14" t="s">
        <v>33</v>
      </c>
      <c r="C37" s="14"/>
      <c r="D37" s="14"/>
      <c r="E37" s="2" t="s">
        <v>34</v>
      </c>
    </row>
    <row r="38" customFormat="false" ht="14.25" hidden="false" customHeight="false" outlineLevel="0" collapsed="false">
      <c r="B38" s="15" t="s">
        <v>24</v>
      </c>
      <c r="C38" s="4" t="n">
        <v>1.5</v>
      </c>
    </row>
    <row r="40" customFormat="false" ht="14.25" hidden="false" customHeight="false" outlineLevel="0" collapsed="false">
      <c r="B40" s="16" t="s">
        <v>5</v>
      </c>
      <c r="C40" s="16" t="s">
        <v>25</v>
      </c>
      <c r="D40" s="16" t="s">
        <v>26</v>
      </c>
      <c r="E40" s="16" t="s">
        <v>27</v>
      </c>
      <c r="F40" s="16" t="s">
        <v>28</v>
      </c>
      <c r="G40" s="16" t="s">
        <v>10</v>
      </c>
    </row>
    <row r="41" customFormat="false" ht="14.25" hidden="false" customHeight="false" outlineLevel="0" collapsed="false">
      <c r="B41" s="4" t="n">
        <v>1</v>
      </c>
      <c r="C41" s="4" t="n">
        <f aca="false">C39</f>
        <v>0</v>
      </c>
      <c r="D41" s="4" t="n">
        <f aca="false">C41^3-C41-1</f>
        <v>-1</v>
      </c>
      <c r="E41" s="4" t="n">
        <f aca="false">(3*(C41^2))-1</f>
        <v>-1</v>
      </c>
      <c r="F41" s="4" t="n">
        <f aca="false">C41-(D41/E41)</f>
        <v>-1</v>
      </c>
      <c r="G41" s="4"/>
    </row>
    <row r="42" customFormat="false" ht="14.25" hidden="false" customHeight="false" outlineLevel="0" collapsed="false">
      <c r="B42" s="4" t="n">
        <v>2</v>
      </c>
      <c r="C42" s="4" t="n">
        <f aca="false">F41</f>
        <v>-1</v>
      </c>
      <c r="D42" s="4" t="n">
        <f aca="false">C42^3-C42-1</f>
        <v>-1</v>
      </c>
      <c r="E42" s="4" t="n">
        <f aca="false">(3*(C42^2))-1</f>
        <v>2</v>
      </c>
      <c r="F42" s="4" t="n">
        <f aca="false">C42-(D42/E42)</f>
        <v>-0.5</v>
      </c>
      <c r="G42" s="4" t="n">
        <f aca="false">ABS((F42-C42)/F42)*100</f>
        <v>100</v>
      </c>
    </row>
    <row r="43" customFormat="false" ht="14.25" hidden="false" customHeight="false" outlineLevel="0" collapsed="false">
      <c r="B43" s="4" t="n">
        <v>3</v>
      </c>
      <c r="C43" s="4" t="n">
        <f aca="false">F42</f>
        <v>-0.5</v>
      </c>
      <c r="D43" s="4" t="n">
        <f aca="false">C43^3-C43-1</f>
        <v>-0.625</v>
      </c>
      <c r="E43" s="4" t="n">
        <f aca="false">(3*(C43^2))-1</f>
        <v>-0.25</v>
      </c>
      <c r="F43" s="4" t="n">
        <f aca="false">C43-(D43/E43)</f>
        <v>-3</v>
      </c>
      <c r="G43" s="4" t="n">
        <f aca="false">ABS((F43-C43)/F43)*100</f>
        <v>83.3333333333333</v>
      </c>
    </row>
    <row r="44" customFormat="false" ht="14.25" hidden="false" customHeight="false" outlineLevel="0" collapsed="false">
      <c r="B44" s="4" t="n">
        <v>4</v>
      </c>
      <c r="C44" s="4" t="n">
        <f aca="false">F43</f>
        <v>-3</v>
      </c>
      <c r="D44" s="4" t="n">
        <f aca="false">C44^3-C44-1</f>
        <v>-25</v>
      </c>
      <c r="E44" s="4" t="n">
        <f aca="false">(3*(C44^2))-1</f>
        <v>26</v>
      </c>
      <c r="F44" s="4" t="n">
        <f aca="false">C44-(D44/E44)</f>
        <v>-2.03846153846154</v>
      </c>
      <c r="G44" s="4" t="n">
        <f aca="false">ABS((F44-C44)/F44)*100</f>
        <v>47.1698113207547</v>
      </c>
    </row>
    <row r="45" customFormat="false" ht="14.25" hidden="false" customHeight="false" outlineLevel="0" collapsed="false">
      <c r="B45" s="4" t="n">
        <v>5</v>
      </c>
      <c r="C45" s="4" t="n">
        <f aca="false">F44</f>
        <v>-2.03846153846154</v>
      </c>
      <c r="D45" s="4" t="n">
        <f aca="false">C45^3-C45-1</f>
        <v>-7.43200955848885</v>
      </c>
      <c r="E45" s="4" t="n">
        <f aca="false">(3*(C45^2))-1</f>
        <v>11.4659763313609</v>
      </c>
      <c r="F45" s="4" t="n">
        <f aca="false">C45-(D45/E45)</f>
        <v>-1.39028214721674</v>
      </c>
      <c r="G45" s="4" t="n">
        <f aca="false">ABS((F45-C45)/F45)*100</f>
        <v>46.6221473491852</v>
      </c>
    </row>
    <row r="48" customFormat="false" ht="14.25" hidden="false" customHeight="false" outlineLevel="0" collapsed="false">
      <c r="B48" s="14" t="s">
        <v>35</v>
      </c>
      <c r="C48" s="14"/>
      <c r="D48" s="14"/>
      <c r="E48" s="2" t="s">
        <v>36</v>
      </c>
    </row>
    <row r="49" customFormat="false" ht="14.25" hidden="false" customHeight="false" outlineLevel="0" collapsed="false">
      <c r="B49" s="17" t="s">
        <v>24</v>
      </c>
      <c r="C49" s="9" t="n">
        <v>5</v>
      </c>
    </row>
    <row r="51" customFormat="false" ht="14.25" hidden="false" customHeight="false" outlineLevel="0" collapsed="false">
      <c r="B51" s="16" t="s">
        <v>5</v>
      </c>
      <c r="C51" s="16" t="s">
        <v>25</v>
      </c>
      <c r="D51" s="16" t="s">
        <v>26</v>
      </c>
      <c r="E51" s="16" t="s">
        <v>27</v>
      </c>
      <c r="F51" s="16" t="s">
        <v>28</v>
      </c>
      <c r="G51" s="16" t="s">
        <v>10</v>
      </c>
    </row>
    <row r="52" customFormat="false" ht="14.25" hidden="false" customHeight="false" outlineLevel="0" collapsed="false">
      <c r="B52" s="4" t="n">
        <v>1</v>
      </c>
      <c r="C52" s="4" t="n">
        <f aca="false">C49</f>
        <v>5</v>
      </c>
      <c r="D52" s="4" t="n">
        <f aca="false">C52^2-9</f>
        <v>16</v>
      </c>
      <c r="E52" s="4" t="n">
        <f aca="false">2*C52</f>
        <v>10</v>
      </c>
      <c r="F52" s="4" t="n">
        <f aca="false">C52-(D52/E52)</f>
        <v>3.4</v>
      </c>
      <c r="G52" s="4"/>
    </row>
    <row r="53" customFormat="false" ht="14.25" hidden="false" customHeight="false" outlineLevel="0" collapsed="false">
      <c r="B53" s="4" t="n">
        <v>2</v>
      </c>
      <c r="C53" s="4" t="n">
        <f aca="false">F52</f>
        <v>3.4</v>
      </c>
      <c r="D53" s="4" t="n">
        <f aca="false">C53^2-9</f>
        <v>2.56</v>
      </c>
      <c r="E53" s="4" t="n">
        <f aca="false">2*C53</f>
        <v>6.8</v>
      </c>
      <c r="F53" s="4" t="n">
        <f aca="false">C53-(D53/E53)</f>
        <v>3.02352941176471</v>
      </c>
      <c r="G53" s="4" t="n">
        <f aca="false">ABS((F53-C53)/F53)*100</f>
        <v>12.4513618677043</v>
      </c>
    </row>
    <row r="54" customFormat="false" ht="14.25" hidden="false" customHeight="false" outlineLevel="0" collapsed="false">
      <c r="B54" s="4" t="n">
        <v>3</v>
      </c>
      <c r="C54" s="4" t="n">
        <f aca="false">F53</f>
        <v>3.02352941176471</v>
      </c>
      <c r="D54" s="4" t="n">
        <f aca="false">C54^2-9</f>
        <v>0.141730103806228</v>
      </c>
      <c r="E54" s="4" t="n">
        <f aca="false">2*C54</f>
        <v>6.04705882352941</v>
      </c>
      <c r="F54" s="4" t="n">
        <f aca="false">C54-(D54/E54)</f>
        <v>3.00009155413138</v>
      </c>
      <c r="G54" s="4" t="n">
        <f aca="false">ABS((F54-C54)/F54)*100</f>
        <v>0.781238079252938</v>
      </c>
    </row>
    <row r="55" customFormat="false" ht="14.25" hidden="false" customHeight="false" outlineLevel="0" collapsed="false">
      <c r="B55" s="4" t="n">
        <v>4</v>
      </c>
      <c r="C55" s="4" t="n">
        <f aca="false">F54</f>
        <v>3.00009155413138</v>
      </c>
      <c r="D55" s="4" t="n">
        <f aca="false">C55^2-9</f>
        <v>0.000549333170440036</v>
      </c>
      <c r="E55" s="4" t="n">
        <f aca="false">2*C55</f>
        <v>6.00018310826276</v>
      </c>
      <c r="F55" s="4" t="n">
        <f aca="false">C55-(D55/E55)</f>
        <v>3.00000000139698</v>
      </c>
      <c r="G55" s="4" t="n">
        <f aca="false">ABS((F55-C55)/F55)*100</f>
        <v>0.00305175781178946</v>
      </c>
    </row>
    <row r="56" customFormat="false" ht="14.25" hidden="false" customHeight="false" outlineLevel="0" collapsed="false">
      <c r="B56" s="4" t="n">
        <v>5</v>
      </c>
      <c r="C56" s="4" t="n">
        <f aca="false">F55</f>
        <v>3.00000000139698</v>
      </c>
      <c r="D56" s="4" t="n">
        <f aca="false">C56^2-9</f>
        <v>8.38190317153931E-009</v>
      </c>
      <c r="E56" s="4" t="n">
        <f aca="false">2*C56</f>
        <v>6.00000000279397</v>
      </c>
      <c r="F56" s="4" t="n">
        <f aca="false">C56-(D56/E56)</f>
        <v>3</v>
      </c>
      <c r="G56" s="4" t="n">
        <f aca="false">ABS((F56-C56)/F56)*100</f>
        <v>4.65661287307739E-008</v>
      </c>
    </row>
  </sheetData>
  <mergeCells count="6">
    <mergeCell ref="B2:D2"/>
    <mergeCell ref="B4:D4"/>
    <mergeCell ref="B15:D15"/>
    <mergeCell ref="B26:D26"/>
    <mergeCell ref="B37:D37"/>
    <mergeCell ref="B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1"/>
  <sheetViews>
    <sheetView showFormulas="false" showGridLines="true" showRowColHeaders="true" showZeros="true" rightToLeft="false" tabSelected="false" showOutlineSymbols="true" defaultGridColor="true" view="normal" topLeftCell="A50" colorId="64" zoomScale="100" zoomScaleNormal="100" zoomScalePageLayoutView="100" workbookViewId="0">
      <selection pane="topLeft" activeCell="O58" activeCellId="0" sqref="O58"/>
    </sheetView>
  </sheetViews>
  <sheetFormatPr defaultColWidth="8.73046875" defaultRowHeight="14.25" zeroHeight="false" outlineLevelRow="0" outlineLevelCol="0"/>
  <sheetData>
    <row r="2" customFormat="false" ht="14.25" hidden="false" customHeight="false" outlineLevel="0" collapsed="false">
      <c r="B2" s="18" t="s">
        <v>37</v>
      </c>
      <c r="C2" s="18"/>
      <c r="D2" s="18"/>
    </row>
    <row r="4" customFormat="false" ht="14.25" hidden="false" customHeight="false" outlineLevel="0" collapsed="false">
      <c r="B4" s="18" t="s">
        <v>38</v>
      </c>
      <c r="C4" s="18"/>
      <c r="D4" s="18"/>
    </row>
    <row r="5" customFormat="false" ht="14.25" hidden="false" customHeight="false" outlineLevel="0" collapsed="false">
      <c r="B5" s="19" t="s">
        <v>24</v>
      </c>
      <c r="C5" s="4" t="n">
        <v>1</v>
      </c>
    </row>
    <row r="6" customFormat="false" ht="14.25" hidden="false" customHeight="false" outlineLevel="0" collapsed="false">
      <c r="B6" s="19" t="s">
        <v>39</v>
      </c>
      <c r="C6" s="4" t="n">
        <v>2</v>
      </c>
    </row>
    <row r="8" customFormat="false" ht="14.25" hidden="false" customHeight="false" outlineLevel="0" collapsed="false">
      <c r="B8" s="20" t="s">
        <v>5</v>
      </c>
      <c r="C8" s="20" t="s">
        <v>40</v>
      </c>
      <c r="D8" s="20" t="s">
        <v>25</v>
      </c>
      <c r="E8" s="20" t="s">
        <v>41</v>
      </c>
      <c r="F8" s="20" t="s">
        <v>26</v>
      </c>
      <c r="G8" s="20" t="s">
        <v>28</v>
      </c>
      <c r="H8" s="20" t="s">
        <v>10</v>
      </c>
    </row>
    <row r="9" customFormat="false" ht="14.25" hidden="false" customHeight="false" outlineLevel="0" collapsed="false">
      <c r="B9" s="4" t="n">
        <v>1</v>
      </c>
      <c r="C9" s="4" t="n">
        <f aca="false">C5</f>
        <v>1</v>
      </c>
      <c r="D9" s="4" t="n">
        <f aca="false">C6</f>
        <v>2</v>
      </c>
      <c r="E9" s="4" t="n">
        <f aca="false">C9^3-C9-1</f>
        <v>-1</v>
      </c>
      <c r="F9" s="4" t="n">
        <f aca="false">D9^3-D9-1</f>
        <v>5</v>
      </c>
      <c r="G9" s="4" t="n">
        <f aca="false">D9-(F9*(C9-D9))/(E9-F9)</f>
        <v>1.16666666666667</v>
      </c>
      <c r="H9" s="4"/>
    </row>
    <row r="10" customFormat="false" ht="14.25" hidden="false" customHeight="false" outlineLevel="0" collapsed="false">
      <c r="B10" s="4" t="n">
        <v>2</v>
      </c>
      <c r="C10" s="4" t="n">
        <f aca="false">D9</f>
        <v>2</v>
      </c>
      <c r="D10" s="4" t="n">
        <f aca="false">G9</f>
        <v>1.16666666666667</v>
      </c>
      <c r="E10" s="4" t="n">
        <f aca="false">C10^3-C10-1</f>
        <v>5</v>
      </c>
      <c r="F10" s="4" t="n">
        <f aca="false">D10^3-D10-1</f>
        <v>-0.578703703703704</v>
      </c>
      <c r="G10" s="4" t="n">
        <f aca="false">D10-(F10*(C10-D10))/(E10-F10)</f>
        <v>1.25311203319502</v>
      </c>
      <c r="H10" s="4" t="n">
        <f aca="false">ABS((G10-D10)/G10)*100</f>
        <v>6.89845474613688</v>
      </c>
    </row>
    <row r="11" customFormat="false" ht="14.25" hidden="false" customHeight="false" outlineLevel="0" collapsed="false">
      <c r="B11" s="4" t="n">
        <v>3</v>
      </c>
      <c r="C11" s="4" t="n">
        <f aca="false">D10</f>
        <v>1.16666666666667</v>
      </c>
      <c r="D11" s="4" t="n">
        <f aca="false">G10</f>
        <v>1.25311203319502</v>
      </c>
      <c r="E11" s="4" t="n">
        <f aca="false">C11^3-C11-1</f>
        <v>-0.578703703703704</v>
      </c>
      <c r="F11" s="4" t="n">
        <f aca="false">D11^3-D11-1</f>
        <v>-0.28536302963932</v>
      </c>
      <c r="G11" s="4" t="n">
        <f aca="false">D11-(F11*(C11-D11))/(E11-F11)</f>
        <v>1.33720644584166</v>
      </c>
      <c r="H11" s="4" t="n">
        <f aca="false">ABS((G11-D11)/G11)*100</f>
        <v>6.28881298831202</v>
      </c>
    </row>
    <row r="12" customFormat="false" ht="14.25" hidden="false" customHeight="false" outlineLevel="0" collapsed="false">
      <c r="B12" s="4" t="n">
        <v>4</v>
      </c>
      <c r="C12" s="4" t="n">
        <f aca="false">D11</f>
        <v>1.25311203319502</v>
      </c>
      <c r="D12" s="4" t="n">
        <f aca="false">G11</f>
        <v>1.33720644584166</v>
      </c>
      <c r="E12" s="4" t="n">
        <f aca="false">C12^3-C12-1</f>
        <v>-0.28536302963932</v>
      </c>
      <c r="F12" s="4" t="n">
        <f aca="false">D12^3-D12-1</f>
        <v>0.0538805866756749</v>
      </c>
      <c r="G12" s="4" t="n">
        <f aca="false">D12-(F12*(C12-D12))/(E12-F12)</f>
        <v>1.32385009638764</v>
      </c>
      <c r="H12" s="4" t="n">
        <f aca="false">ABS((G12-D12)/G12)*100</f>
        <v>1.00890195124513</v>
      </c>
    </row>
    <row r="13" customFormat="false" ht="14.25" hidden="false" customHeight="false" outlineLevel="0" collapsed="false">
      <c r="B13" s="4" t="n">
        <v>5</v>
      </c>
      <c r="C13" s="4" t="n">
        <f aca="false">D12</f>
        <v>1.33720644584166</v>
      </c>
      <c r="D13" s="4" t="n">
        <f aca="false">G12</f>
        <v>1.32385009638764</v>
      </c>
      <c r="E13" s="4" t="n">
        <f aca="false">C13^3-C13-1</f>
        <v>0.0538805866756749</v>
      </c>
      <c r="F13" s="4" t="n">
        <f aca="false">D13^3-D13-1</f>
        <v>-0.0036981154401643</v>
      </c>
      <c r="G13" s="4" t="n">
        <f aca="false">D13-(F13*(C13-D13))/(E13-F13)</f>
        <v>1.32470793653209</v>
      </c>
      <c r="H13" s="4" t="n">
        <f aca="false">ABS((G13-D13)/G13)*100</f>
        <v>0.0647569264733721</v>
      </c>
    </row>
    <row r="16" customFormat="false" ht="14.25" hidden="false" customHeight="false" outlineLevel="0" collapsed="false">
      <c r="B16" s="18" t="s">
        <v>11</v>
      </c>
      <c r="C16" s="18"/>
      <c r="D16" s="18"/>
      <c r="E16" s="2" t="s">
        <v>32</v>
      </c>
    </row>
    <row r="17" customFormat="false" ht="14.25" hidden="false" customHeight="false" outlineLevel="0" collapsed="false">
      <c r="B17" s="19" t="s">
        <v>24</v>
      </c>
      <c r="C17" s="4" t="n">
        <v>-2</v>
      </c>
    </row>
    <row r="18" customFormat="false" ht="14.25" hidden="false" customHeight="false" outlineLevel="0" collapsed="false">
      <c r="B18" s="19" t="s">
        <v>39</v>
      </c>
      <c r="C18" s="4" t="n">
        <v>2</v>
      </c>
    </row>
    <row r="20" customFormat="false" ht="14.25" hidden="false" customHeight="false" outlineLevel="0" collapsed="false">
      <c r="B20" s="20" t="s">
        <v>5</v>
      </c>
      <c r="C20" s="20" t="s">
        <v>40</v>
      </c>
      <c r="D20" s="20" t="s">
        <v>25</v>
      </c>
      <c r="E20" s="20" t="s">
        <v>41</v>
      </c>
      <c r="F20" s="20" t="s">
        <v>26</v>
      </c>
      <c r="G20" s="20" t="s">
        <v>28</v>
      </c>
      <c r="H20" s="20" t="s">
        <v>10</v>
      </c>
    </row>
    <row r="21" customFormat="false" ht="14.25" hidden="false" customHeight="false" outlineLevel="0" collapsed="false">
      <c r="B21" s="4" t="n">
        <v>1</v>
      </c>
      <c r="C21" s="4" t="n">
        <f aca="false">C17</f>
        <v>-2</v>
      </c>
      <c r="D21" s="4" t="n">
        <f aca="false">C18</f>
        <v>2</v>
      </c>
      <c r="E21" s="4" t="n">
        <f aca="false">C21^2+4</f>
        <v>8</v>
      </c>
      <c r="F21" s="4" t="n">
        <f aca="false">D21^2+4</f>
        <v>8</v>
      </c>
      <c r="G21" s="4" t="e">
        <f aca="false">D21-(F21*(C21-D21))/(E21-F21)</f>
        <v>#DIV/0!</v>
      </c>
      <c r="H21" s="4"/>
    </row>
    <row r="22" customFormat="false" ht="14.25" hidden="false" customHeight="false" outlineLevel="0" collapsed="false">
      <c r="B22" s="4" t="n">
        <v>2</v>
      </c>
      <c r="C22" s="4" t="n">
        <f aca="false">D21</f>
        <v>2</v>
      </c>
      <c r="D22" s="4" t="e">
        <f aca="false">G21</f>
        <v>#DIV/0!</v>
      </c>
      <c r="E22" s="4" t="n">
        <f aca="false">C22^2+4</f>
        <v>8</v>
      </c>
      <c r="F22" s="4" t="e">
        <f aca="false">D22^2+4</f>
        <v>#DIV/0!</v>
      </c>
      <c r="G22" s="4" t="e">
        <f aca="false">D22-(F22*(C22-D22))/(E22-F22)</f>
        <v>#DIV/0!</v>
      </c>
      <c r="H22" s="4" t="e">
        <f aca="false">ABS((G22-D22)/G22)*100</f>
        <v>#DIV/0!</v>
      </c>
    </row>
    <row r="23" customFormat="false" ht="14.25" hidden="false" customHeight="false" outlineLevel="0" collapsed="false">
      <c r="B23" s="4" t="n">
        <v>3</v>
      </c>
      <c r="C23" s="4" t="e">
        <f aca="false">D22</f>
        <v>#DIV/0!</v>
      </c>
      <c r="D23" s="4" t="e">
        <f aca="false">G22</f>
        <v>#DIV/0!</v>
      </c>
      <c r="E23" s="4" t="e">
        <f aca="false">C23^2+4</f>
        <v>#DIV/0!</v>
      </c>
      <c r="F23" s="4" t="e">
        <f aca="false">D23^2+4</f>
        <v>#DIV/0!</v>
      </c>
      <c r="G23" s="4" t="e">
        <f aca="false">D23-(F23*(C23-D23))/(E23-F23)</f>
        <v>#DIV/0!</v>
      </c>
      <c r="H23" s="4" t="e">
        <f aca="false">ABS((G23-D23)/G23)*100</f>
        <v>#DIV/0!</v>
      </c>
    </row>
    <row r="24" customFormat="false" ht="14.25" hidden="false" customHeight="false" outlineLevel="0" collapsed="false">
      <c r="B24" s="4" t="n">
        <v>4</v>
      </c>
      <c r="C24" s="4" t="e">
        <f aca="false">D23</f>
        <v>#DIV/0!</v>
      </c>
      <c r="D24" s="4" t="e">
        <f aca="false">G23</f>
        <v>#DIV/0!</v>
      </c>
      <c r="E24" s="4" t="e">
        <f aca="false">C24^2+4</f>
        <v>#DIV/0!</v>
      </c>
      <c r="F24" s="4" t="e">
        <f aca="false">D24^2+4</f>
        <v>#DIV/0!</v>
      </c>
      <c r="G24" s="4" t="e">
        <f aca="false">D24-(F24*(C24-D24))/(E24-F24)</f>
        <v>#DIV/0!</v>
      </c>
      <c r="H24" s="4" t="e">
        <f aca="false">ABS((G24-D24)/G24)*100</f>
        <v>#DIV/0!</v>
      </c>
    </row>
    <row r="25" customFormat="false" ht="14.25" hidden="false" customHeight="false" outlineLevel="0" collapsed="false">
      <c r="B25" s="4" t="n">
        <v>5</v>
      </c>
      <c r="C25" s="4" t="e">
        <f aca="false">D24</f>
        <v>#DIV/0!</v>
      </c>
      <c r="D25" s="4" t="e">
        <f aca="false">G24</f>
        <v>#DIV/0!</v>
      </c>
      <c r="E25" s="4" t="e">
        <f aca="false">C25^2+4</f>
        <v>#DIV/0!</v>
      </c>
      <c r="F25" s="4" t="e">
        <f aca="false">D25^2+4</f>
        <v>#DIV/0!</v>
      </c>
      <c r="G25" s="4" t="e">
        <f aca="false">D25-(F25*(C25-D25))/(E25-F25)</f>
        <v>#DIV/0!</v>
      </c>
      <c r="H25" s="4" t="e">
        <f aca="false">ABS((G25-D25)/G25)*100</f>
        <v>#DIV/0!</v>
      </c>
    </row>
    <row r="28" customFormat="false" ht="14.25" hidden="false" customHeight="false" outlineLevel="0" collapsed="false">
      <c r="B28" s="18" t="s">
        <v>42</v>
      </c>
      <c r="C28" s="18"/>
      <c r="D28" s="18"/>
    </row>
    <row r="29" customFormat="false" ht="14.25" hidden="false" customHeight="false" outlineLevel="0" collapsed="false">
      <c r="B29" s="19" t="s">
        <v>24</v>
      </c>
      <c r="C29" s="4" t="n">
        <v>-3</v>
      </c>
    </row>
    <row r="30" customFormat="false" ht="14.25" hidden="false" customHeight="false" outlineLevel="0" collapsed="false">
      <c r="B30" s="19" t="s">
        <v>39</v>
      </c>
      <c r="C30" s="4" t="n">
        <v>-1</v>
      </c>
    </row>
    <row r="32" customFormat="false" ht="14.25" hidden="false" customHeight="false" outlineLevel="0" collapsed="false">
      <c r="B32" s="20" t="s">
        <v>5</v>
      </c>
      <c r="C32" s="20" t="s">
        <v>40</v>
      </c>
      <c r="D32" s="20" t="s">
        <v>25</v>
      </c>
      <c r="E32" s="20" t="s">
        <v>41</v>
      </c>
      <c r="F32" s="20" t="s">
        <v>26</v>
      </c>
      <c r="G32" s="20" t="s">
        <v>28</v>
      </c>
      <c r="H32" s="20" t="s">
        <v>10</v>
      </c>
    </row>
    <row r="33" customFormat="false" ht="14.25" hidden="false" customHeight="false" outlineLevel="0" collapsed="false">
      <c r="B33" s="4" t="n">
        <v>1</v>
      </c>
      <c r="C33" s="4" t="n">
        <f aca="false">C29</f>
        <v>-3</v>
      </c>
      <c r="D33" s="4" t="n">
        <f aca="false">C30</f>
        <v>-1</v>
      </c>
      <c r="E33" s="4" t="n">
        <f aca="false">C33^3-2*C33+2</f>
        <v>-19</v>
      </c>
      <c r="F33" s="4" t="n">
        <f aca="false">D33^3-2*D33+2</f>
        <v>3</v>
      </c>
      <c r="G33" s="4" t="n">
        <f aca="false">D33-(F33*(C33-D33))/(E33-F33)</f>
        <v>-1.27272727272727</v>
      </c>
      <c r="H33" s="4"/>
    </row>
    <row r="34" customFormat="false" ht="14.25" hidden="false" customHeight="false" outlineLevel="0" collapsed="false">
      <c r="B34" s="4" t="n">
        <v>2</v>
      </c>
      <c r="C34" s="4" t="n">
        <f aca="false">D33</f>
        <v>-1</v>
      </c>
      <c r="D34" s="4" t="n">
        <f aca="false">G33</f>
        <v>-1.27272727272727</v>
      </c>
      <c r="E34" s="4" t="n">
        <f aca="false">C34^3-2*C34+2</f>
        <v>3</v>
      </c>
      <c r="F34" s="4" t="n">
        <f aca="false">D34^3-2*D34+2</f>
        <v>2.48384673178062</v>
      </c>
      <c r="G34" s="4" t="n">
        <f aca="false">D34-(F34*(C34-D34))/(E34-F34)</f>
        <v>-2.58515283842795</v>
      </c>
      <c r="H34" s="4" t="n">
        <f aca="false">ABS((G34-D34)/G34)*100</f>
        <v>50.7678132678133</v>
      </c>
    </row>
    <row r="35" customFormat="false" ht="14.25" hidden="false" customHeight="false" outlineLevel="0" collapsed="false">
      <c r="B35" s="4" t="n">
        <v>3</v>
      </c>
      <c r="C35" s="4" t="n">
        <f aca="false">D34</f>
        <v>-1.27272727272727</v>
      </c>
      <c r="D35" s="4" t="n">
        <f aca="false">G34</f>
        <v>-2.58515283842795</v>
      </c>
      <c r="E35" s="4" t="n">
        <f aca="false">C35^3-2*C35+2</f>
        <v>2.48384673178062</v>
      </c>
      <c r="F35" s="4" t="n">
        <f aca="false">D35^3-2*D35+2</f>
        <v>-10.1063100315938</v>
      </c>
      <c r="G35" s="4" t="n">
        <f aca="false">D35-(F35*(C35-D35))/(E35-F35)</f>
        <v>-1.53164890597922</v>
      </c>
      <c r="H35" s="4" t="n">
        <f aca="false">ABS((G35-D35)/G35)*100</f>
        <v>68.7823383241475</v>
      </c>
    </row>
    <row r="36" customFormat="false" ht="14.25" hidden="false" customHeight="false" outlineLevel="0" collapsed="false">
      <c r="B36" s="4" t="n">
        <v>4</v>
      </c>
      <c r="C36" s="4" t="n">
        <f aca="false">D35</f>
        <v>-2.58515283842795</v>
      </c>
      <c r="D36" s="4" t="n">
        <f aca="false">G35</f>
        <v>-1.53164890597922</v>
      </c>
      <c r="E36" s="4" t="n">
        <f aca="false">C36^3-2*C36+2</f>
        <v>-10.1063100315938</v>
      </c>
      <c r="F36" s="4" t="n">
        <f aca="false">D36^3-2*D36+2</f>
        <v>1.47012855574562</v>
      </c>
      <c r="G36" s="4" t="n">
        <f aca="false">D36-(F36*(C36-D36))/(E36-F36)</f>
        <v>-1.66543670289087</v>
      </c>
      <c r="H36" s="4" t="n">
        <f aca="false">ABS((G36-D36)/G36)*100</f>
        <v>8.0331961388519</v>
      </c>
    </row>
    <row r="37" customFormat="false" ht="14.25" hidden="false" customHeight="false" outlineLevel="0" collapsed="false">
      <c r="B37" s="4" t="n">
        <v>5</v>
      </c>
      <c r="C37" s="4" t="n">
        <f aca="false">D36</f>
        <v>-1.53164890597922</v>
      </c>
      <c r="D37" s="4" t="n">
        <f aca="false">G36</f>
        <v>-1.66543670289087</v>
      </c>
      <c r="E37" s="4" t="n">
        <f aca="false">C37^3-2*C37+2</f>
        <v>1.47012855574562</v>
      </c>
      <c r="F37" s="4" t="n">
        <f aca="false">D37^3-2*D37+2</f>
        <v>0.71148591209</v>
      </c>
      <c r="G37" s="4" t="n">
        <f aca="false">D37-(F37*(C37-D37))/(E37-F37)</f>
        <v>-1.79090833766943</v>
      </c>
      <c r="H37" s="4" t="n">
        <f aca="false">ABS((G37-D37)/G37)*100</f>
        <v>7.00603331501818</v>
      </c>
    </row>
    <row r="40" customFormat="false" ht="14.25" hidden="false" customHeight="false" outlineLevel="0" collapsed="false">
      <c r="B40" s="18" t="s">
        <v>43</v>
      </c>
      <c r="C40" s="18"/>
    </row>
    <row r="41" customFormat="false" ht="14.25" hidden="false" customHeight="false" outlineLevel="0" collapsed="false">
      <c r="B41" s="19" t="s">
        <v>24</v>
      </c>
      <c r="C41" s="4" t="n">
        <v>0</v>
      </c>
    </row>
    <row r="42" customFormat="false" ht="14.25" hidden="false" customHeight="false" outlineLevel="0" collapsed="false">
      <c r="B42" s="19" t="s">
        <v>39</v>
      </c>
      <c r="C42" s="4" t="n">
        <v>5</v>
      </c>
    </row>
    <row r="44" customFormat="false" ht="14.25" hidden="false" customHeight="false" outlineLevel="0" collapsed="false">
      <c r="B44" s="20" t="s">
        <v>5</v>
      </c>
      <c r="C44" s="20" t="s">
        <v>40</v>
      </c>
      <c r="D44" s="20" t="s">
        <v>25</v>
      </c>
      <c r="E44" s="20" t="s">
        <v>41</v>
      </c>
      <c r="F44" s="20" t="s">
        <v>26</v>
      </c>
      <c r="G44" s="20" t="s">
        <v>28</v>
      </c>
      <c r="H44" s="20" t="s">
        <v>10</v>
      </c>
    </row>
    <row r="45" customFormat="false" ht="14.25" hidden="false" customHeight="false" outlineLevel="0" collapsed="false">
      <c r="B45" s="4" t="n">
        <v>1</v>
      </c>
      <c r="C45" s="4" t="n">
        <f aca="false">C41</f>
        <v>0</v>
      </c>
      <c r="D45" s="4" t="n">
        <f aca="false">C42</f>
        <v>5</v>
      </c>
      <c r="E45" s="4" t="n">
        <f aca="false">C45^2-9</f>
        <v>-9</v>
      </c>
      <c r="F45" s="4" t="n">
        <f aca="false">D45^2-9</f>
        <v>16</v>
      </c>
      <c r="G45" s="4" t="n">
        <f aca="false">D45-(F45*(C45-D45))/(E45-F45)</f>
        <v>1.8</v>
      </c>
      <c r="H45" s="4"/>
    </row>
    <row r="46" customFormat="false" ht="14.25" hidden="false" customHeight="false" outlineLevel="0" collapsed="false">
      <c r="B46" s="4" t="n">
        <v>2</v>
      </c>
      <c r="C46" s="4" t="n">
        <f aca="false">D45</f>
        <v>5</v>
      </c>
      <c r="D46" s="4" t="n">
        <f aca="false">G45</f>
        <v>1.8</v>
      </c>
      <c r="E46" s="4" t="n">
        <f aca="false">C46^2-9</f>
        <v>16</v>
      </c>
      <c r="F46" s="4" t="n">
        <f aca="false">D46^2-9</f>
        <v>-5.76</v>
      </c>
      <c r="G46" s="4" t="n">
        <f aca="false">D46-(F46*(C46-D46))/(E46-F46)</f>
        <v>2.64705882352941</v>
      </c>
      <c r="H46" s="4" t="n">
        <f aca="false">ABS((G46-D46)/G46)*100</f>
        <v>32</v>
      </c>
    </row>
    <row r="47" customFormat="false" ht="14.25" hidden="false" customHeight="false" outlineLevel="0" collapsed="false">
      <c r="B47" s="4" t="n">
        <v>3</v>
      </c>
      <c r="C47" s="4" t="n">
        <f aca="false">D46</f>
        <v>1.8</v>
      </c>
      <c r="D47" s="4" t="n">
        <f aca="false">G46</f>
        <v>2.64705882352941</v>
      </c>
      <c r="E47" s="4" t="n">
        <f aca="false">C47^2-9</f>
        <v>-5.76</v>
      </c>
      <c r="F47" s="4" t="n">
        <f aca="false">D47^2-9</f>
        <v>-1.99307958477509</v>
      </c>
      <c r="G47" s="4" t="n">
        <f aca="false">D47-(F47*(C47-D47))/(E47-F47)</f>
        <v>3.0952380952381</v>
      </c>
      <c r="H47" s="4" t="n">
        <f aca="false">ABS((G47-D47)/G47)*100</f>
        <v>14.4796380090498</v>
      </c>
    </row>
    <row r="48" customFormat="false" ht="14.25" hidden="false" customHeight="false" outlineLevel="0" collapsed="false">
      <c r="B48" s="4" t="n">
        <v>4</v>
      </c>
      <c r="C48" s="4" t="n">
        <f aca="false">D47</f>
        <v>2.64705882352941</v>
      </c>
      <c r="D48" s="4" t="n">
        <f aca="false">G47</f>
        <v>3.0952380952381</v>
      </c>
      <c r="E48" s="4" t="n">
        <f aca="false">C48^2-9</f>
        <v>-1.99307958477509</v>
      </c>
      <c r="F48" s="4" t="n">
        <f aca="false">D48^2-9</f>
        <v>0.580498866213153</v>
      </c>
      <c r="G48" s="4" t="n">
        <f aca="false">D48-(F48*(C48-D48))/(E48-F48)</f>
        <v>2.99414634146341</v>
      </c>
      <c r="H48" s="4" t="n">
        <f aca="false">ABS((G48-D48)/G48)*100</f>
        <v>3.37631305373241</v>
      </c>
    </row>
    <row r="49" customFormat="false" ht="14.25" hidden="false" customHeight="false" outlineLevel="0" collapsed="false">
      <c r="B49" s="4" t="n">
        <v>5</v>
      </c>
      <c r="C49" s="4" t="n">
        <f aca="false">D48</f>
        <v>3.0952380952381</v>
      </c>
      <c r="D49" s="4" t="n">
        <f aca="false">G48</f>
        <v>2.99414634146341</v>
      </c>
      <c r="E49" s="4" t="n">
        <f aca="false">C49^2-9</f>
        <v>0.580498866213153</v>
      </c>
      <c r="F49" s="4" t="n">
        <f aca="false">D49^2-9</f>
        <v>-0.0350876859012494</v>
      </c>
      <c r="G49" s="4" t="n">
        <f aca="false">D49-(F49*(C49-D49))/(E49-F49)</f>
        <v>2.99990844866259</v>
      </c>
      <c r="H49" s="4" t="n">
        <f aca="false">ABS((G49-D49)/G49)*100</f>
        <v>0.192076101580425</v>
      </c>
    </row>
    <row r="52" customFormat="false" ht="14.25" hidden="false" customHeight="false" outlineLevel="0" collapsed="false">
      <c r="B52" s="18" t="s">
        <v>44</v>
      </c>
      <c r="C52" s="18"/>
      <c r="D52" s="18"/>
    </row>
    <row r="53" customFormat="false" ht="14.25" hidden="false" customHeight="false" outlineLevel="0" collapsed="false">
      <c r="B53" s="19" t="s">
        <v>24</v>
      </c>
      <c r="C53" s="4" t="n">
        <v>0</v>
      </c>
    </row>
    <row r="54" customFormat="false" ht="14.25" hidden="false" customHeight="false" outlineLevel="0" collapsed="false">
      <c r="B54" s="19" t="s">
        <v>39</v>
      </c>
      <c r="C54" s="4" t="n">
        <v>1</v>
      </c>
    </row>
    <row r="56" customFormat="false" ht="14.25" hidden="false" customHeight="false" outlineLevel="0" collapsed="false">
      <c r="B56" s="20" t="s">
        <v>5</v>
      </c>
      <c r="C56" s="20" t="s">
        <v>40</v>
      </c>
      <c r="D56" s="20" t="s">
        <v>25</v>
      </c>
      <c r="E56" s="20" t="s">
        <v>41</v>
      </c>
      <c r="F56" s="20" t="s">
        <v>26</v>
      </c>
      <c r="G56" s="20" t="s">
        <v>28</v>
      </c>
      <c r="H56" s="20" t="s">
        <v>10</v>
      </c>
    </row>
    <row r="57" customFormat="false" ht="14.25" hidden="false" customHeight="false" outlineLevel="0" collapsed="false">
      <c r="B57" s="4" t="n">
        <v>1</v>
      </c>
      <c r="C57" s="4" t="n">
        <f aca="false">C53</f>
        <v>0</v>
      </c>
      <c r="D57" s="4" t="n">
        <f aca="false">C54</f>
        <v>1</v>
      </c>
      <c r="E57" s="4" t="n">
        <f aca="false">C57^3-C57-1</f>
        <v>-1</v>
      </c>
      <c r="F57" s="4" t="n">
        <f aca="false">D57^3-D57-1</f>
        <v>-1</v>
      </c>
      <c r="G57" s="4" t="e">
        <f aca="false">D57-(F57*(C57-D57))/(E57-F57)</f>
        <v>#DIV/0!</v>
      </c>
      <c r="H57" s="4"/>
    </row>
    <row r="58" customFormat="false" ht="14.25" hidden="false" customHeight="false" outlineLevel="0" collapsed="false">
      <c r="B58" s="4" t="n">
        <v>2</v>
      </c>
      <c r="C58" s="4" t="n">
        <f aca="false">D57</f>
        <v>1</v>
      </c>
      <c r="D58" s="4" t="e">
        <f aca="false">G57</f>
        <v>#DIV/0!</v>
      </c>
      <c r="E58" s="4" t="n">
        <f aca="false">C58^3-C58-1</f>
        <v>-1</v>
      </c>
      <c r="F58" s="4" t="e">
        <f aca="false">D58^3-D58-1</f>
        <v>#DIV/0!</v>
      </c>
      <c r="G58" s="4" t="e">
        <f aca="false">D58-(F58*(C58-D58))/(E58-F58)</f>
        <v>#DIV/0!</v>
      </c>
      <c r="H58" s="4" t="e">
        <f aca="false">ABS((G58-D58)/G58)*100</f>
        <v>#DIV/0!</v>
      </c>
    </row>
    <row r="59" customFormat="false" ht="14.25" hidden="false" customHeight="false" outlineLevel="0" collapsed="false">
      <c r="B59" s="4" t="n">
        <v>3</v>
      </c>
      <c r="C59" s="4" t="e">
        <f aca="false">D58</f>
        <v>#DIV/0!</v>
      </c>
      <c r="D59" s="4" t="e">
        <f aca="false">G58</f>
        <v>#DIV/0!</v>
      </c>
      <c r="E59" s="4" t="e">
        <f aca="false">C59^3-C59-1</f>
        <v>#DIV/0!</v>
      </c>
      <c r="F59" s="4" t="e">
        <f aca="false">D59^3-D59-1</f>
        <v>#DIV/0!</v>
      </c>
      <c r="G59" s="4" t="e">
        <f aca="false">D59-(F59*(C59-D59))/(E59-F59)</f>
        <v>#DIV/0!</v>
      </c>
      <c r="H59" s="4" t="e">
        <f aca="false">ABS((G59-D59)/G59)*100</f>
        <v>#DIV/0!</v>
      </c>
    </row>
    <row r="60" customFormat="false" ht="14.25" hidden="false" customHeight="false" outlineLevel="0" collapsed="false">
      <c r="B60" s="4" t="n">
        <v>4</v>
      </c>
      <c r="C60" s="4" t="e">
        <f aca="false">D59</f>
        <v>#DIV/0!</v>
      </c>
      <c r="D60" s="4" t="e">
        <f aca="false">G59</f>
        <v>#DIV/0!</v>
      </c>
      <c r="E60" s="4" t="e">
        <f aca="false">C60^3-C60-1</f>
        <v>#DIV/0!</v>
      </c>
      <c r="F60" s="4" t="e">
        <f aca="false">D60^3-D60-1</f>
        <v>#DIV/0!</v>
      </c>
      <c r="G60" s="4" t="e">
        <f aca="false">D60-(F60*(C60-D60))/(E60-F60)</f>
        <v>#DIV/0!</v>
      </c>
      <c r="H60" s="4" t="e">
        <f aca="false">ABS((G60-D60)/G60)*100</f>
        <v>#DIV/0!</v>
      </c>
    </row>
    <row r="61" customFormat="false" ht="14.25" hidden="false" customHeight="false" outlineLevel="0" collapsed="false">
      <c r="B61" s="4" t="n">
        <v>5</v>
      </c>
      <c r="C61" s="4" t="e">
        <f aca="false">D60</f>
        <v>#DIV/0!</v>
      </c>
      <c r="D61" s="4" t="e">
        <f aca="false">G60</f>
        <v>#DIV/0!</v>
      </c>
      <c r="E61" s="4" t="e">
        <f aca="false">C61^3-C61-1</f>
        <v>#DIV/0!</v>
      </c>
      <c r="F61" s="4" t="e">
        <f aca="false">D61^3-D61-1</f>
        <v>#DIV/0!</v>
      </c>
      <c r="G61" s="4" t="e">
        <f aca="false">D61-(F61*(C61-D61))/(E61-F61)</f>
        <v>#DIV/0!</v>
      </c>
      <c r="H61" s="4" t="e">
        <f aca="false">ABS((G61-D61)/G61)*100</f>
        <v>#DIV/0!</v>
      </c>
    </row>
  </sheetData>
  <mergeCells count="6">
    <mergeCell ref="B2:D2"/>
    <mergeCell ref="B4:D4"/>
    <mergeCell ref="B16:D16"/>
    <mergeCell ref="B28:D28"/>
    <mergeCell ref="B40:C40"/>
    <mergeCell ref="B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2026-02-22T08:52:34Z</dcterms:created>
  <dc:creator>openpyxl</dc:creator>
  <dc:description/>
  <dc:language>en-US</dc:language>
  <cp:lastModifiedBy>guzmanbriana055@gmail.com</cp:lastModifiedBy>
  <dcterms:modified xsi:type="dcterms:W3CDTF">2026-02-22T10:01:39Z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